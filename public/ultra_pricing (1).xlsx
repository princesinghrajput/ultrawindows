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RKUP" sheetId="1" r:id="rId4"/>
    <sheet state="visible" name="bifold" sheetId="2" r:id="rId5"/>
    <sheet state="visible" name="patio" sheetId="3" r:id="rId6"/>
    <sheet state="visible" name="cortizo_patio" sheetId="4" r:id="rId7"/>
    <sheet state="visible" name="window" sheetId="5" r:id="rId8"/>
    <sheet state="visible" name="glass" sheetId="6" r:id="rId9"/>
    <sheet state="visible" name="upvc_window" sheetId="7" r:id="rId10"/>
    <sheet state="visible" name="values" sheetId="8" r:id="rId11"/>
    <sheet state="visible" name="composite" sheetId="9" r:id="rId12"/>
    <sheet state="visible" name="price_files" sheetId="10" r:id="rId13"/>
    <sheet state="visible" name="(price file overrides)" sheetId="11" r:id="rId14"/>
    <sheet state="visible" name="(patio_costs)" sheetId="12" r:id="rId15"/>
    <sheet state="visible" name="patio_2" sheetId="13" r:id="rId16"/>
    <sheet state="visible" name="patio_3" sheetId="14" r:id="rId17"/>
    <sheet state="visible" name="patio_4" sheetId="15" r:id="rId18"/>
    <sheet state="visible" name="Ultra_patio_2" sheetId="16" r:id="rId19"/>
    <sheet state="visible" name="Ultra_patio_3" sheetId="17" r:id="rId20"/>
    <sheet state="visible" name="Ultra_patio_4" sheetId="18" r:id="rId21"/>
    <sheet state="visible" name="five" sheetId="19" r:id="rId22"/>
    <sheet state="visible" name="four" sheetId="20" r:id="rId23"/>
    <sheet state="visible" name="three" sheetId="21" r:id="rId24"/>
    <sheet state="visible" name="rooflight" sheetId="22" r:id="rId25"/>
    <sheet state="visible" name="lantern" sheetId="23" r:id="rId26"/>
    <sheet state="visible" name="internal" sheetId="24" r:id="rId27"/>
    <sheet state="visible" name="cutoffs" sheetId="25" r:id="rId28"/>
    <sheet state="visible" name="options" sheetId="26" r:id="rId29"/>
    <sheet state="visible" name="toggles" sheetId="27" r:id="rId30"/>
  </sheets>
  <definedNames/>
  <calcPr/>
</workbook>
</file>

<file path=xl/sharedStrings.xml><?xml version="1.0" encoding="utf-8"?>
<sst xmlns="http://schemas.openxmlformats.org/spreadsheetml/2006/main" count="1090" uniqueCount="854">
  <si>
    <t>System</t>
  </si>
  <si>
    <t>Discount</t>
  </si>
  <si>
    <t>Markup</t>
  </si>
  <si>
    <t>(cumulative)</t>
  </si>
  <si>
    <t>Window Profile</t>
  </si>
  <si>
    <t>Window Hardware</t>
  </si>
  <si>
    <t>Bifold Profile</t>
  </si>
  <si>
    <t>Bifold Hardware</t>
  </si>
  <si>
    <t>Slider Profile</t>
  </si>
  <si>
    <t>Slider Hardware</t>
  </si>
  <si>
    <t>Internal Bifold</t>
  </si>
  <si>
    <t>Internal Slider</t>
  </si>
  <si>
    <t>Composite</t>
  </si>
  <si>
    <t>Ultra Slider Profile</t>
  </si>
  <si>
    <t>Ultra Slider Hardware</t>
  </si>
  <si>
    <t>type</t>
  </si>
  <si>
    <t>values</t>
  </si>
  <si>
    <t>before discount</t>
  </si>
  <si>
    <t>markup</t>
  </si>
  <si>
    <t>bifold_leaf</t>
  </si>
  <si>
    <t>french_fixed</t>
  </si>
  <si>
    <t>single_fixed</t>
  </si>
  <si>
    <t>bifold_cill_90</t>
  </si>
  <si>
    <t>bifold_cill_150</t>
  </si>
  <si>
    <t>bifold_cill_180</t>
  </si>
  <si>
    <t>bifold_cill_230</t>
  </si>
  <si>
    <t>bifold_handle_grey</t>
  </si>
  <si>
    <t>bifold_handle_black</t>
  </si>
  <si>
    <t>bifold_handle_white</t>
  </si>
  <si>
    <t>bifold_handle_chrome</t>
  </si>
  <si>
    <t>bifold_handle_satin</t>
  </si>
  <si>
    <t>bifold_handle_gold</t>
  </si>
  <si>
    <t>bifold_handle_rose_gold</t>
  </si>
  <si>
    <t>bifold_handle_dual</t>
  </si>
  <si>
    <t>bifold_handle_coastal_stainless_steel</t>
  </si>
  <si>
    <t>bifold_floating_corner</t>
  </si>
  <si>
    <t>bifold_adjustable_jamb</t>
  </si>
  <si>
    <t>bifold_toe_heel_adjuster</t>
  </si>
  <si>
    <t>bifold_trickle_vent</t>
  </si>
  <si>
    <t>bifold_addon_20</t>
  </si>
  <si>
    <t>bifold_addon_38</t>
  </si>
  <si>
    <t>bifold_ral</t>
  </si>
  <si>
    <t>bifold_second_ral</t>
  </si>
  <si>
    <t>astragal_bar_fixed</t>
  </si>
  <si>
    <t>transom_bar_fixed</t>
  </si>
  <si>
    <t>blinds</t>
  </si>
  <si>
    <t>sidelight_frame</t>
  </si>
  <si>
    <t>sidelight_frame_fixed</t>
  </si>
  <si>
    <t>ult_bifold_low_e_tuff_per_pane</t>
  </si>
  <si>
    <t>comes from options tab partsStrategy</t>
  </si>
  <si>
    <t>patio_cill_230</t>
  </si>
  <si>
    <t>patio_cill_250</t>
  </si>
  <si>
    <t>patio_lift_slide_uplift</t>
  </si>
  <si>
    <t>patio_trickle_vent</t>
  </si>
  <si>
    <t>patio_additional_slide</t>
  </si>
  <si>
    <t>patio_monorail_fixed</t>
  </si>
  <si>
    <t>patio_addon_35</t>
  </si>
  <si>
    <t>patio_handle_gold</t>
  </si>
  <si>
    <t>patio_handle_smoke_chrome</t>
  </si>
  <si>
    <t>patio_handle_satin</t>
  </si>
  <si>
    <t>patio_handle_black</t>
  </si>
  <si>
    <t>patio_handle_white</t>
  </si>
  <si>
    <t>patio_handle_chrome</t>
  </si>
  <si>
    <t>(this is Polished Chrome)</t>
  </si>
  <si>
    <t>patio_handle_coastal_steel</t>
  </si>
  <si>
    <t>patio_handle_coastal_black</t>
  </si>
  <si>
    <t>patio_handle_l&amp;s_white</t>
  </si>
  <si>
    <t>patio_handle_l&amp;s_black</t>
  </si>
  <si>
    <t>patio_ral</t>
  </si>
  <si>
    <t>patio_second_ral</t>
  </si>
  <si>
    <t>cortizo_patio_cill_180</t>
  </si>
  <si>
    <t>cortizo_patio_cill_230</t>
  </si>
  <si>
    <t>cortizo_patio_cill_250</t>
  </si>
  <si>
    <t>cortizo_patio_trickle_vent</t>
  </si>
  <si>
    <t>cortizo_patio_additional_slide</t>
  </si>
  <si>
    <t>cortizo_patio_addon_35</t>
  </si>
  <si>
    <t>cortizo_patio_ral</t>
  </si>
  <si>
    <t>cortizo_patio_second_ral</t>
  </si>
  <si>
    <t>cortizo_patio_handle_grey</t>
  </si>
  <si>
    <t>cortizo_patio_handle_black</t>
  </si>
  <si>
    <t>cortizo_patio_handle_white</t>
  </si>
  <si>
    <t>window_sash_per_m</t>
  </si>
  <si>
    <t>window_sash_fixed</t>
  </si>
  <si>
    <t>window_opener_fixed</t>
  </si>
  <si>
    <t>window_bar_per_m</t>
  </si>
  <si>
    <t>window_frame_per_m</t>
  </si>
  <si>
    <t>window_frame_fixed</t>
  </si>
  <si>
    <t>window_bar_fixed</t>
  </si>
  <si>
    <t>window_bead_per_m</t>
  </si>
  <si>
    <t>window_sash_tilt_per_m</t>
  </si>
  <si>
    <t>window_sash_tilt_fixed</t>
  </si>
  <si>
    <t>window_opener_tilt_fixed</t>
  </si>
  <si>
    <t>window_bar_tilt_per_m</t>
  </si>
  <si>
    <t>window_frame_tilt_per_m</t>
  </si>
  <si>
    <t>window_sash_flush_per_m</t>
  </si>
  <si>
    <t>window_sash_flush_fixed</t>
  </si>
  <si>
    <t>window_opener_flush_fixed</t>
  </si>
  <si>
    <t>window_bar_flush_per_m</t>
  </si>
  <si>
    <t>window_frame_flush_per_m</t>
  </si>
  <si>
    <t>window_cill_90</t>
  </si>
  <si>
    <t>window_cill_150</t>
  </si>
  <si>
    <t>window_cill_180</t>
  </si>
  <si>
    <t>window_cill_230</t>
  </si>
  <si>
    <t>window_addon_20</t>
  </si>
  <si>
    <t>window_addon_38</t>
  </si>
  <si>
    <t>window_hooded_vent</t>
  </si>
  <si>
    <t>window_trickle_vent</t>
  </si>
  <si>
    <t>window_handle_black_casement</t>
  </si>
  <si>
    <t>window_handle_chrome_casement</t>
  </si>
  <si>
    <t>window_handle_gold_casement</t>
  </si>
  <si>
    <t>window_handle_steel_casement</t>
  </si>
  <si>
    <t>window_handle_white_casement</t>
  </si>
  <si>
    <t>window_handle_coastal_steel_casement</t>
  </si>
  <si>
    <t>window_handle_coastal_black_casement</t>
  </si>
  <si>
    <t>window_handle_black_tilt_turn</t>
  </si>
  <si>
    <t>window_handle_chrome_tilt_turn</t>
  </si>
  <si>
    <t>window_handle_gold_tilt_turn</t>
  </si>
  <si>
    <t>window_handle_steel_tilt_turn</t>
  </si>
  <si>
    <t>window_handle_white_tilt_turn</t>
  </si>
  <si>
    <t>window_handle_coastal_steel_tilt_turn</t>
  </si>
  <si>
    <t>window_handle_coastal_black_tilt_turn</t>
  </si>
  <si>
    <t>window_french</t>
  </si>
  <si>
    <t>window_ral</t>
  </si>
  <si>
    <t>window_second_ral</t>
  </si>
  <si>
    <t>bay_pole_90_per_m</t>
  </si>
  <si>
    <t>bay_pole_angled_per_m</t>
  </si>
  <si>
    <t>window_hinge_egress</t>
  </si>
  <si>
    <t>glass_low_e</t>
  </si>
  <si>
    <t>glass_low_e_oversized</t>
  </si>
  <si>
    <t>glass_low_e_tuff</t>
  </si>
  <si>
    <t>glass_low_e_tuff_oversized</t>
  </si>
  <si>
    <t>glass_low_e_one</t>
  </si>
  <si>
    <t>glass_low_e_one_oversized</t>
  </si>
  <si>
    <t>glass_low_e_one_tuff</t>
  </si>
  <si>
    <t>glass_low_e_one_tuff_oversized</t>
  </si>
  <si>
    <t>glass_laminated_6.8</t>
  </si>
  <si>
    <t>glass_laminated_6.8_oversized</t>
  </si>
  <si>
    <t>glass_laminated_6.8_tuff</t>
  </si>
  <si>
    <t>glass_laminated_6.8_tuff_oversized</t>
  </si>
  <si>
    <t>glass_triple</t>
  </si>
  <si>
    <t>glass_triple_oversized</t>
  </si>
  <si>
    <t>glass_triple_tuff</t>
  </si>
  <si>
    <t>glass_triple_tuff_oversized</t>
  </si>
  <si>
    <t>glass_laminated_6.8_acoustic</t>
  </si>
  <si>
    <t>glass_laminated_6.8_acoustic_oversized</t>
  </si>
  <si>
    <t>glass_low_e_6mm</t>
  </si>
  <si>
    <t>glass_low_e_6mm_oversized</t>
  </si>
  <si>
    <t>glass_low_e_tuff_6mm</t>
  </si>
  <si>
    <t>glass_low_e_tuff_6mm_oversized</t>
  </si>
  <si>
    <t>glass_low_e_one_6mm</t>
  </si>
  <si>
    <t>glass_low_e_one_6mm_oversized</t>
  </si>
  <si>
    <t>glass_low_e_one_tuff_6mm</t>
  </si>
  <si>
    <t>glass_low_e_one_tuff_6mm_oversized</t>
  </si>
  <si>
    <t>glass_laminated_6.8_6mm</t>
  </si>
  <si>
    <t>glass_laminated_6.8_6mm_oversized</t>
  </si>
  <si>
    <t>glass_laminated_6.8_tuff_6mm</t>
  </si>
  <si>
    <t>glass_laminated_6.8_tuff_6mm_oversized</t>
  </si>
  <si>
    <t>glass_triple_6mm</t>
  </si>
  <si>
    <t>glass_triple_6mm_oversized</t>
  </si>
  <si>
    <t>glass_triple_tuff_6mm</t>
  </si>
  <si>
    <t>glass_triple_tuff_6mm_oversized</t>
  </si>
  <si>
    <t>glass_laminated_6.8_acoustic_6mm</t>
  </si>
  <si>
    <t>glass_laminated_6.8_acoustic_6mm_oversized</t>
  </si>
  <si>
    <t>glass_oversized_fixed</t>
  </si>
  <si>
    <t>glass_6mm_fixed</t>
  </si>
  <si>
    <t>glass_pattern_all</t>
  </si>
  <si>
    <t>glass_pattern_SAT</t>
  </si>
  <si>
    <t>glass_pattern_all_tuff</t>
  </si>
  <si>
    <t>glass_pattern_SAT_tuff</t>
  </si>
  <si>
    <t>upvc_window_sash_per_m</t>
  </si>
  <si>
    <t>upvc_window_sash_fixed</t>
  </si>
  <si>
    <t>upvc_window_opener_fixed</t>
  </si>
  <si>
    <t>upvc_window_frame_per_m</t>
  </si>
  <si>
    <t>upvc_window_bar_per_m</t>
  </si>
  <si>
    <t>upvc_window_bead_per_m</t>
  </si>
  <si>
    <t>upvc_window_frame_fixed</t>
  </si>
  <si>
    <t>upvc_cill_standard_85</t>
  </si>
  <si>
    <t>upvc_cill_standard_125</t>
  </si>
  <si>
    <t>upvc_cill_standard_150</t>
  </si>
  <si>
    <t>upvc_cill_standard_180</t>
  </si>
  <si>
    <t>upvc_cill_standard_225</t>
  </si>
  <si>
    <t>upvc_door_single</t>
  </si>
  <si>
    <t>upvc_door_french</t>
  </si>
  <si>
    <t>AbercornSlab</t>
  </si>
  <si>
    <t>AbercornUltimateSlab</t>
  </si>
  <si>
    <t>CornwallSlab</t>
  </si>
  <si>
    <t>CambridgeSlab</t>
  </si>
  <si>
    <t>CornwallUltimateSlab</t>
  </si>
  <si>
    <t>WhitmoreSolidSlab</t>
  </si>
  <si>
    <t>NorfolkSolidSlab</t>
  </si>
  <si>
    <t>AstonSolidSlab</t>
  </si>
  <si>
    <t>MiddletonSolidSlab</t>
  </si>
  <si>
    <t>MiddletonGlazed4Slab</t>
  </si>
  <si>
    <t>WinslowSolidSlab</t>
  </si>
  <si>
    <t>Winslow3Slab</t>
  </si>
  <si>
    <t>ElmhurstSlab</t>
  </si>
  <si>
    <t>HattonSlab</t>
  </si>
  <si>
    <t>AxwellSlab</t>
  </si>
  <si>
    <t>BuxtonSlab</t>
  </si>
  <si>
    <t>GraftonSlab</t>
  </si>
  <si>
    <t>WalcotSlab</t>
  </si>
  <si>
    <t>RutlandSlab</t>
  </si>
  <si>
    <t>SomersetSlab</t>
  </si>
  <si>
    <t>HarlingtonSlab</t>
  </si>
  <si>
    <t>WhitmoreSlab</t>
  </si>
  <si>
    <t>YorkSlab</t>
  </si>
  <si>
    <t>ExternalColourSlab</t>
  </si>
  <si>
    <t>InternalColourSlab</t>
  </si>
  <si>
    <t>ColourWhite1Frame</t>
  </si>
  <si>
    <t>ColourWhite2Frame</t>
  </si>
  <si>
    <t>ColourColour1Frame</t>
  </si>
  <si>
    <t>ColourColour2Frame</t>
  </si>
  <si>
    <t>OpenOut</t>
  </si>
  <si>
    <t>Cill1</t>
  </si>
  <si>
    <t>pm</t>
  </si>
  <si>
    <t>Cill2</t>
  </si>
  <si>
    <t>Cill3</t>
  </si>
  <si>
    <t>AM3Threshold</t>
  </si>
  <si>
    <t>AM370Threshold</t>
  </si>
  <si>
    <t>Addons1</t>
  </si>
  <si>
    <t>Addons2</t>
  </si>
  <si>
    <t>Addons3</t>
  </si>
  <si>
    <t>StandardAstonGlass</t>
  </si>
  <si>
    <t>StandardBramptonGlass</t>
  </si>
  <si>
    <t>StandardMiddleton4Glass</t>
  </si>
  <si>
    <t>StandardWinslow3Glass</t>
  </si>
  <si>
    <t>StandardElmhurstGlass</t>
  </si>
  <si>
    <t>StandardHattonGlass</t>
  </si>
  <si>
    <t>StandardAxwellGlass</t>
  </si>
  <si>
    <t>StandardBuxtonGlass</t>
  </si>
  <si>
    <t>StandardGraftonGlass</t>
  </si>
  <si>
    <t>StandardWalcotGlass</t>
  </si>
  <si>
    <t>StandardRutlandGlass</t>
  </si>
  <si>
    <t>StandardSomersetGlass</t>
  </si>
  <si>
    <t>StandardHarlingtonGlass</t>
  </si>
  <si>
    <t>StandardWhitmoreGlass</t>
  </si>
  <si>
    <t>StandardYorkGlass</t>
  </si>
  <si>
    <t>SimplicityCornwallGlass</t>
  </si>
  <si>
    <t>SimplicityMiddletonGlazed4Glass</t>
  </si>
  <si>
    <t>KensingtonCornwallGlass</t>
  </si>
  <si>
    <t>DorchesterMiddletonGlazed4Glass</t>
  </si>
  <si>
    <t>MayfairMiddletonGlazed4Glass</t>
  </si>
  <si>
    <t>ClassicMiddletonGlazed4Glass</t>
  </si>
  <si>
    <t>ReflectionsMiddletonGlazed4Glass</t>
  </si>
  <si>
    <t>VictorianBorderMiddletonGlazed4Glass</t>
  </si>
  <si>
    <t>ZincStarMiddletonGlazed4Glass</t>
  </si>
  <si>
    <t>NumbersWinslow3Glass</t>
  </si>
  <si>
    <t>PrairieWinslow3Glass</t>
  </si>
  <si>
    <t>MuranoWinslow3Glass</t>
  </si>
  <si>
    <t>VictorianBorderWinslow3Glass</t>
  </si>
  <si>
    <t>ZincStarWinslow3Glass</t>
  </si>
  <si>
    <t>ClassicWinslow3Glass</t>
  </si>
  <si>
    <t>MayfairWinslow3Glass</t>
  </si>
  <si>
    <t>KensingtonWinslow3Glass</t>
  </si>
  <si>
    <t>ReflectionsWinslow3Glass</t>
  </si>
  <si>
    <t>PrairieElmhurstGlass</t>
  </si>
  <si>
    <t>ClassicElmhurstGlass</t>
  </si>
  <si>
    <t>MayfairElmhurstGlass</t>
  </si>
  <si>
    <t>SimplicityElmhurstGlass</t>
  </si>
  <si>
    <t>EleganceElmhurstGlass</t>
  </si>
  <si>
    <t>BexleyHattonGlass</t>
  </si>
  <si>
    <t>CamdenHattonGlass</t>
  </si>
  <si>
    <t>ValeHattonGlass</t>
  </si>
  <si>
    <t>NewOrleansAxwellGlass</t>
  </si>
  <si>
    <t>EdwardianAxwellGlass</t>
  </si>
  <si>
    <t>OakParkAxwellGlass</t>
  </si>
  <si>
    <t>ArtDecoAxwellGlass</t>
  </si>
  <si>
    <t>VictorianBorderAxwellGlass</t>
  </si>
  <si>
    <t>NumbersAxwellGlass</t>
  </si>
  <si>
    <t>KensingtonAxwellGlass</t>
  </si>
  <si>
    <t>DorchesterAxwellGlass</t>
  </si>
  <si>
    <t>MayfairAxwellGlass</t>
  </si>
  <si>
    <t>SimplicityBuxtonGlass</t>
  </si>
  <si>
    <t>KensingtonBuxtonGlass</t>
  </si>
  <si>
    <t>VictorianBorderBuxtonGlass</t>
  </si>
  <si>
    <t>NumbersBuxtonGlass</t>
  </si>
  <si>
    <t>PrairieBuxtonGlass</t>
  </si>
  <si>
    <t>EleganceBuxtonGlass</t>
  </si>
  <si>
    <t>HorizonBuxtonGlass</t>
  </si>
  <si>
    <t>LinearBuxtonGlass</t>
  </si>
  <si>
    <t>AbstractBuxtonGlass</t>
  </si>
  <si>
    <t>BeaumontBuxtonGlass</t>
  </si>
  <si>
    <t>DiamondCutBuxtonGlass</t>
  </si>
  <si>
    <t>ModenaBuxtonGlass</t>
  </si>
  <si>
    <t>SimplicityGraftonGlass</t>
  </si>
  <si>
    <t>KensingtonGraftonGlass</t>
  </si>
  <si>
    <t>ClassicGraftonGlass</t>
  </si>
  <si>
    <t>ReflectionsBuxtonGlass</t>
  </si>
  <si>
    <t>ReflectionsGraftonGlass</t>
  </si>
  <si>
    <t>VictorianBorderGraftonGlass</t>
  </si>
  <si>
    <t>ZincStarGraftonGlass</t>
  </si>
  <si>
    <t>NumbersGraftonGlass</t>
  </si>
  <si>
    <t>PrairieGraftonGlass</t>
  </si>
  <si>
    <t>EleganceGraftonGlass</t>
  </si>
  <si>
    <t>DiamondCutGraftonGlass</t>
  </si>
  <si>
    <t>SimplicityWalcotGlass</t>
  </si>
  <si>
    <t>KensingtonWalcotGlass</t>
  </si>
  <si>
    <t>ReflectionsWalcotGlass</t>
  </si>
  <si>
    <t>PrairieWalcotGlass</t>
  </si>
  <si>
    <t>NewOrleansWalcotGlass</t>
  </si>
  <si>
    <t>HorizonWalcotGlass</t>
  </si>
  <si>
    <t>LinearWalcotGlass</t>
  </si>
  <si>
    <t>BeaumontWalcotGlass</t>
  </si>
  <si>
    <t>RichmondWalcotGlass</t>
  </si>
  <si>
    <t>AuroraWalcotGlass</t>
  </si>
  <si>
    <t>SimplicitySomersetGlass</t>
  </si>
  <si>
    <t>KensingtonRutlandGlass</t>
  </si>
  <si>
    <t>KensingtonSomersetGlass</t>
  </si>
  <si>
    <t>MayfairSomersetGlass</t>
  </si>
  <si>
    <t>ClassicSomersetGlass</t>
  </si>
  <si>
    <t>ReflectionsRutlandGlass</t>
  </si>
  <si>
    <t>ReflectionsSomersetGlass</t>
  </si>
  <si>
    <t>VictorianBorderSomersetGlass</t>
  </si>
  <si>
    <t>ZincStarSomersetGlass</t>
  </si>
  <si>
    <t>NumbersRutlandGlass</t>
  </si>
  <si>
    <t>NewOrleansRutlandGlass</t>
  </si>
  <si>
    <t>HorizonRutlandGlass</t>
  </si>
  <si>
    <t>LinearRutlandGlass</t>
  </si>
  <si>
    <t>AuroraRutlandGlass</t>
  </si>
  <si>
    <t>AuroraSomersetGlass</t>
  </si>
  <si>
    <t>MasterlineRutlandGlass</t>
  </si>
  <si>
    <t>EtchedSquareRutlandGlass</t>
  </si>
  <si>
    <t>MatrixRutlandGlass</t>
  </si>
  <si>
    <t>LinosaRutlandGlass</t>
  </si>
  <si>
    <t>GreenwichSomersetGlass</t>
  </si>
  <si>
    <t>KensingtonHarlingtonGlass</t>
  </si>
  <si>
    <t>DorchesterHarlingtonGlass</t>
  </si>
  <si>
    <t>MayfairHarlingtonGlass</t>
  </si>
  <si>
    <t>VictorianBorderHarlingtonGlass</t>
  </si>
  <si>
    <t>NumbersHarlingtonGlass</t>
  </si>
  <si>
    <t>MuranoHarlingtonGlass</t>
  </si>
  <si>
    <t>NewOrleansHarlingtonGlass</t>
  </si>
  <si>
    <t>CaledonianRoseHarlingtonGlass</t>
  </si>
  <si>
    <t>CrystalFlowersHarlingtonGlass</t>
  </si>
  <si>
    <t>EspritHarlingtonGlass</t>
  </si>
  <si>
    <t>MontanaHarlingtonGlass</t>
  </si>
  <si>
    <t>SimplicityWhitmoreGlass</t>
  </si>
  <si>
    <t>KensingtonWhitmoreGlass</t>
  </si>
  <si>
    <t>DorchesterWhitmoreGlass</t>
  </si>
  <si>
    <t>MayfairWhitmoreGlass</t>
  </si>
  <si>
    <t>ClassicWhitmoreGlass</t>
  </si>
  <si>
    <t>ReflectionsWhitmoreGlass</t>
  </si>
  <si>
    <t>VictorianBorderWhitmoreGlass</t>
  </si>
  <si>
    <t>ZincStarWhitmoreGlass</t>
  </si>
  <si>
    <t>PrairieWhitmoreGlass</t>
  </si>
  <si>
    <t>MuranoWhitmoreGlass</t>
  </si>
  <si>
    <t>EleganceWhitmoreGlass</t>
  </si>
  <si>
    <t>NewOrleansWhitmoreGlass</t>
  </si>
  <si>
    <t>HorizonWhitmoreGlass</t>
  </si>
  <si>
    <t>LinearWhitmoreGlass</t>
  </si>
  <si>
    <t>BeaumontWhitmoreGlass</t>
  </si>
  <si>
    <t>DiamondCutWhitmoreGlass</t>
  </si>
  <si>
    <t>ModenaWhitmoreGlass</t>
  </si>
  <si>
    <t>AuroraWhitmoreGlass</t>
  </si>
  <si>
    <t>MatrixWhitmoreGlass</t>
  </si>
  <si>
    <t>GreenwichWhitmoreGlass</t>
  </si>
  <si>
    <t>KensingtonYorkGlass</t>
  </si>
  <si>
    <t>VictorianBorderYorkGlass</t>
  </si>
  <si>
    <t>AuroraYorkGlass</t>
  </si>
  <si>
    <t>MasterlineYorkGlass</t>
  </si>
  <si>
    <t>GreenwichYorkGlass</t>
  </si>
  <si>
    <t>SFSDoorHinges</t>
  </si>
  <si>
    <t>Thumbturn</t>
  </si>
  <si>
    <t>PullPlateEscutcheon</t>
  </si>
  <si>
    <t>PullPullEscutcheon</t>
  </si>
  <si>
    <t>BluSquareKnobHandle</t>
  </si>
  <si>
    <t>BluRoundKnobHandle</t>
  </si>
  <si>
    <t>BalmoralHandle</t>
  </si>
  <si>
    <t>FixedHandle</t>
  </si>
  <si>
    <t>ArchitecturalHandle</t>
  </si>
  <si>
    <t>TraditionalKnobHandle</t>
  </si>
  <si>
    <t>BlackMonkeyNobleRegalHandle</t>
  </si>
  <si>
    <t>PewterMonkeyNobleRegalHandle</t>
  </si>
  <si>
    <t>Round400BarHandle</t>
  </si>
  <si>
    <t>Round900BarHandle</t>
  </si>
  <si>
    <t>Round1200BarHandle</t>
  </si>
  <si>
    <t>Round1800BarHandle</t>
  </si>
  <si>
    <t>Rectangle400BarHandle</t>
  </si>
  <si>
    <t>Rectangle900BarHandle</t>
  </si>
  <si>
    <t>Rectangle1200BarHandle</t>
  </si>
  <si>
    <t>Rectangle1800BarHandle</t>
  </si>
  <si>
    <t>NumailLetterplate1</t>
  </si>
  <si>
    <t>NumailLetterplate2</t>
  </si>
  <si>
    <t>ArchitecturalLetterplate1</t>
  </si>
  <si>
    <t>ArchitecturalLetterplatePewter</t>
  </si>
  <si>
    <t>ArchitecturalLetterplateForgedBlack</t>
  </si>
  <si>
    <t>MilaLetterplate</t>
  </si>
  <si>
    <t>UrnKnocker1</t>
  </si>
  <si>
    <t>UrnKnocker2</t>
  </si>
  <si>
    <t>UrnViewholeKnocker1</t>
  </si>
  <si>
    <t>UrnViewholeKnocker2</t>
  </si>
  <si>
    <t>ContemporaryKnocker1</t>
  </si>
  <si>
    <t>ContemporaryKnocker2</t>
  </si>
  <si>
    <t>HorsetailKnocker1</t>
  </si>
  <si>
    <t>HorsetailKnocker2</t>
  </si>
  <si>
    <t>RingKnocker</t>
  </si>
  <si>
    <t>SpireKnocker</t>
  </si>
  <si>
    <t>KentSlab</t>
  </si>
  <si>
    <t>RichmondSlab</t>
  </si>
  <si>
    <t>SussexSlab</t>
  </si>
  <si>
    <t>AstonGlazed2Slab</t>
  </si>
  <si>
    <t>BramptonSlab</t>
  </si>
  <si>
    <t>BedfordSlab</t>
  </si>
  <si>
    <t>CliftonSlab</t>
  </si>
  <si>
    <t>FifeSlab</t>
  </si>
  <si>
    <t>HamiltonSlab</t>
  </si>
  <si>
    <t>HighburySlab</t>
  </si>
  <si>
    <t>MontroseSlab</t>
  </si>
  <si>
    <t>MowbraySlab</t>
  </si>
  <si>
    <t>SutherlandSlab</t>
  </si>
  <si>
    <t>WellingtonSlab</t>
  </si>
  <si>
    <t>Winslow1Slab</t>
  </si>
  <si>
    <t>MiddletonGlazed2Slab</t>
  </si>
  <si>
    <t>WestminsterSlab</t>
  </si>
  <si>
    <t>StandardKentGlass</t>
  </si>
  <si>
    <t>StandardRichmondGlass</t>
  </si>
  <si>
    <t>StandardSussexGlass</t>
  </si>
  <si>
    <t>StandardBedfordGlass</t>
  </si>
  <si>
    <t>StandardCliftonGlass</t>
  </si>
  <si>
    <t>StandardFifeGlass</t>
  </si>
  <si>
    <t>StandardHamiltonGlass</t>
  </si>
  <si>
    <t>StandardHighburyGlass</t>
  </si>
  <si>
    <t>StandardMontroseGlass</t>
  </si>
  <si>
    <t>StandardMowbrayGlass</t>
  </si>
  <si>
    <t>StandardSutherlandGlass</t>
  </si>
  <si>
    <t>StandardWellingtonGlass</t>
  </si>
  <si>
    <t>StandardWinslow1Glass</t>
  </si>
  <si>
    <t>StandardMiddleton2Glass</t>
  </si>
  <si>
    <t>StandardWestminsterGlass</t>
  </si>
  <si>
    <t>DorchesterKentGlass</t>
  </si>
  <si>
    <t>KensingtonKentGlass</t>
  </si>
  <si>
    <t>MayfairKentGlass</t>
  </si>
  <si>
    <t>ClassicKentGlass</t>
  </si>
  <si>
    <t>PrairieKentGlass</t>
  </si>
  <si>
    <t>ReflectionsKentGlass</t>
  </si>
  <si>
    <t>AbstractKentGlass</t>
  </si>
  <si>
    <t>MuranoKentGlass</t>
  </si>
  <si>
    <t>VictorianBorderKentGlass</t>
  </si>
  <si>
    <t>ZincStarKentGlass</t>
  </si>
  <si>
    <t>SimplicityAbercornGlass</t>
  </si>
  <si>
    <t>KensingtonAbercornGlass</t>
  </si>
  <si>
    <t>MayfairAbercornGlass</t>
  </si>
  <si>
    <t>ReflectionsAbercornGlass</t>
  </si>
  <si>
    <t>VictorianBorderAbercornGlass</t>
  </si>
  <si>
    <t>MuranoAbercornGlass</t>
  </si>
  <si>
    <t>HorizonAbercornGlass</t>
  </si>
  <si>
    <t>LinearAbercornGlass</t>
  </si>
  <si>
    <t>BeaumontAbercornGlass</t>
  </si>
  <si>
    <t>ModenaAbercornGlass</t>
  </si>
  <si>
    <t>AuroraAbercornGlass</t>
  </si>
  <si>
    <t>MatrixAbercornGlass</t>
  </si>
  <si>
    <t>GreenwichAbercornGlass</t>
  </si>
  <si>
    <t>AuroraRichmondGlass</t>
  </si>
  <si>
    <t>NewOrleansRichmondGlass</t>
  </si>
  <si>
    <t>SimplicityRichmondGlass</t>
  </si>
  <si>
    <t>DorchesterRichmondGlass</t>
  </si>
  <si>
    <t>GreenwichRichmondGlass</t>
  </si>
  <si>
    <t>KensingtonRichmondGlass</t>
  </si>
  <si>
    <t>VictorianBorderRichmondGlass</t>
  </si>
  <si>
    <t>AuroraSussexGlass</t>
  </si>
  <si>
    <t>NewOrleansSussexGlass</t>
  </si>
  <si>
    <t>DorchesterSussexGlass</t>
  </si>
  <si>
    <t>GreenwichSussexGlass</t>
  </si>
  <si>
    <t>KensingtonSussexGlass</t>
  </si>
  <si>
    <t>MasterlineSussexGlass</t>
  </si>
  <si>
    <t>VictorianBorderSussexGlass</t>
  </si>
  <si>
    <t>SimplicityAstonGlass</t>
  </si>
  <si>
    <t>GreenwichAstonGlass</t>
  </si>
  <si>
    <t>KensingtonAstonGlass</t>
  </si>
  <si>
    <t>MayfairAstonGlass</t>
  </si>
  <si>
    <t>HorizonAstonGlass</t>
  </si>
  <si>
    <t>LinearAstonGlass</t>
  </si>
  <si>
    <t>MatrixAstonGlass</t>
  </si>
  <si>
    <t>ReflectionsAstonGlass</t>
  </si>
  <si>
    <t>BeaumontAstonGlass</t>
  </si>
  <si>
    <t>ModenaAstonGlass</t>
  </si>
  <si>
    <t>VictorianBorderAstonGlass</t>
  </si>
  <si>
    <t>AuroraBramptonGlass</t>
  </si>
  <si>
    <t>GreenwichBramptonGlass</t>
  </si>
  <si>
    <t>MasterlineBramptonGlass</t>
  </si>
  <si>
    <t>VictorianBorderBramptonGlass</t>
  </si>
  <si>
    <t>AuroraBedfordGlass</t>
  </si>
  <si>
    <t>SimplicityBedfordGlass</t>
  </si>
  <si>
    <t>GreenwichBedfordGlass</t>
  </si>
  <si>
    <t>KensingtonBedfordGlass</t>
  </si>
  <si>
    <t>MayfairBedfordGlass</t>
  </si>
  <si>
    <t>HorizonBedfordGlass</t>
  </si>
  <si>
    <t>LinearBedfordGlass</t>
  </si>
  <si>
    <t>MatrixBedfordGlass</t>
  </si>
  <si>
    <t>ReflectionsBedfordGlass</t>
  </si>
  <si>
    <t>BeaumontBedfordGlass</t>
  </si>
  <si>
    <t>MuranoBedfordGlass</t>
  </si>
  <si>
    <t>VictorianBorderBedfordGlass</t>
  </si>
  <si>
    <t>SimplicityCliftonGlass</t>
  </si>
  <si>
    <t>NumbersCliftonGlass</t>
  </si>
  <si>
    <t>EleganceCliftonGlass</t>
  </si>
  <si>
    <t>HorizonCliftonGlass</t>
  </si>
  <si>
    <t>LinearCliftonGlass</t>
  </si>
  <si>
    <t>PrairieCliftonGlass</t>
  </si>
  <si>
    <t>ReflectionsCliftonGlass</t>
  </si>
  <si>
    <t>AbstractCliftonGlass</t>
  </si>
  <si>
    <t>BeaumontCliftonGlass</t>
  </si>
  <si>
    <t>DiamondCutCliftonGlass</t>
  </si>
  <si>
    <t>ModenaCliftonGlass</t>
  </si>
  <si>
    <t>VictorianBorderCliftonGlass</t>
  </si>
  <si>
    <t>NewOrleansFifeGlass</t>
  </si>
  <si>
    <t>DorchesterFifeGlass</t>
  </si>
  <si>
    <t>KensingtonFifeGlass</t>
  </si>
  <si>
    <t>OakParkFifeGlass</t>
  </si>
  <si>
    <t>NumbersFifeGlass</t>
  </si>
  <si>
    <t>EdwardianFifeGlass</t>
  </si>
  <si>
    <t>MayfairFifeGlass</t>
  </si>
  <si>
    <t>ArtDecoFifeGlass</t>
  </si>
  <si>
    <t>VictorianBorderFifeGlass</t>
  </si>
  <si>
    <t>AuroraHamiltonGlass</t>
  </si>
  <si>
    <t>NewOrleansHamiltonGlass</t>
  </si>
  <si>
    <t>DorchesterHamiltonGlass</t>
  </si>
  <si>
    <t>GreenwichHamiltonGlass</t>
  </si>
  <si>
    <t>KensingtonHamiltonGlass</t>
  </si>
  <si>
    <t>MasterlineHamiltonGlass</t>
  </si>
  <si>
    <t>VictorianBorderHamiltonGlass</t>
  </si>
  <si>
    <t>AuroraMontroseGlass</t>
  </si>
  <si>
    <t>DorchesterMontroseGlass</t>
  </si>
  <si>
    <t>GreenwichMontroseGlass</t>
  </si>
  <si>
    <t>KensingtonMontroseGlass</t>
  </si>
  <si>
    <t>VictorianBorderMontroseGlass</t>
  </si>
  <si>
    <t>AuroraMowbrayGlass</t>
  </si>
  <si>
    <t>NewOrleansMowbrayGlass</t>
  </si>
  <si>
    <t>SimplicityMowbrayGlass</t>
  </si>
  <si>
    <t>DorchesterMowbrayGlass</t>
  </si>
  <si>
    <t>GreenwichMowbrayGlass</t>
  </si>
  <si>
    <t>KensingtonMowbrayGlass</t>
  </si>
  <si>
    <t>MayfairMowbrayGlass</t>
  </si>
  <si>
    <t>ClassicMowbrayGlass</t>
  </si>
  <si>
    <t>EleganceMowbrayGlass</t>
  </si>
  <si>
    <t>HorizonMowbrayGlass</t>
  </si>
  <si>
    <t>LinearMowbrayGlass</t>
  </si>
  <si>
    <t>MatrixMowbrayGlass</t>
  </si>
  <si>
    <t>PrairieMowbrayGlass</t>
  </si>
  <si>
    <t>ReflectionsMowbrayGlass</t>
  </si>
  <si>
    <t>BeaumontMowbrayGlass</t>
  </si>
  <si>
    <t>DiamondCutMowbrayGlass</t>
  </si>
  <si>
    <t>ModenaMowbrayGlass</t>
  </si>
  <si>
    <t>MuranoMowbrayGlass</t>
  </si>
  <si>
    <t>VictorianBorderMowbrayGlass</t>
  </si>
  <si>
    <t>ZincStarMowbrayGlass</t>
  </si>
  <si>
    <t>AuroraSutherlandGlass</t>
  </si>
  <si>
    <t>NewOrleansSutherlandGlass</t>
  </si>
  <si>
    <t>KensingtonSutherlandGlass</t>
  </si>
  <si>
    <t>MasterlineSutherlandGlass</t>
  </si>
  <si>
    <t>NumbersSutherlandGlass</t>
  </si>
  <si>
    <t>EtchedSquareSutherlandGlass</t>
  </si>
  <si>
    <t>HorizonSutherlandGlass</t>
  </si>
  <si>
    <t>LinearSutherlandGlass</t>
  </si>
  <si>
    <t>MatrixSutherlandGlass</t>
  </si>
  <si>
    <t>LinosaSutherlandGlass</t>
  </si>
  <si>
    <t>ReflectionsSutherlandGlass</t>
  </si>
  <si>
    <t>NewOrleansWellingtonGlass</t>
  </si>
  <si>
    <t>SimplicityWellingtonGlass</t>
  </si>
  <si>
    <t>DorchesterWellingtonGlass</t>
  </si>
  <si>
    <t>KensingtonWellingtonGlass</t>
  </si>
  <si>
    <t>MayfairWellingtonGlass</t>
  </si>
  <si>
    <t>ClassicWellingtonGlass</t>
  </si>
  <si>
    <t>EleganceWellingtonGlass</t>
  </si>
  <si>
    <t>LinearWellingtonGlass</t>
  </si>
  <si>
    <t>PrairieWellingtonGlass</t>
  </si>
  <si>
    <t>ReflectionsWellingtonGlass</t>
  </si>
  <si>
    <t>BeaumontWellingtonGlass</t>
  </si>
  <si>
    <t>DiamondCutWellingtonGlass</t>
  </si>
  <si>
    <t>ModenaWellingtonGlass</t>
  </si>
  <si>
    <t>MuranoWellingtonGlass</t>
  </si>
  <si>
    <t>VictorianBorderWellingtonGlass</t>
  </si>
  <si>
    <t>ZincStarWellingtonGlass</t>
  </si>
  <si>
    <t>DorchesterWinslow1Glass</t>
  </si>
  <si>
    <t>KensingtonWinslow1Glass</t>
  </si>
  <si>
    <t>NumbersWinslow1Glass</t>
  </si>
  <si>
    <t>MayfairWinslow1Glass</t>
  </si>
  <si>
    <t>ClassicWinslow1Glass</t>
  </si>
  <si>
    <t>PrairieWinslow1Glass</t>
  </si>
  <si>
    <t>ReflectionsWinslow1Glass</t>
  </si>
  <si>
    <t>AbstractWinslow1Glass</t>
  </si>
  <si>
    <t>MuranoWinslow1Glass</t>
  </si>
  <si>
    <t>VictorianBorderWinslow1Glass</t>
  </si>
  <si>
    <t>ZincStarWinslow1Glass</t>
  </si>
  <si>
    <t>SimplicityMiddleton2Glass</t>
  </si>
  <si>
    <t>DorchesterMiddleton2Glass</t>
  </si>
  <si>
    <t>GreenwichMiddleton2Glass</t>
  </si>
  <si>
    <t>KensingtonMiddleton2Glass</t>
  </si>
  <si>
    <t>MayfairMiddleton2Glass</t>
  </si>
  <si>
    <t>CrystalFlowersMiddleton2Glass</t>
  </si>
  <si>
    <t>ClassicMiddleton2Glass</t>
  </si>
  <si>
    <t>LinearMiddleton2Glass</t>
  </si>
  <si>
    <t>ReflectionsMiddleton2Glass</t>
  </si>
  <si>
    <t>VictorianBorderMiddleton2Glass</t>
  </si>
  <si>
    <t>ZincStarMiddleton2Glass</t>
  </si>
  <si>
    <t>NewOrleansWestminsterGlass</t>
  </si>
  <si>
    <t>SimplicityWestminsterGlass</t>
  </si>
  <si>
    <t>DorchesterWestminsterGlass</t>
  </si>
  <si>
    <t>KensingtonWestminsterGlass</t>
  </si>
  <si>
    <t>MayfairWestminsterGlass</t>
  </si>
  <si>
    <t>ClassicWestminsterGlass</t>
  </si>
  <si>
    <t>EleganceWestminsterGlass</t>
  </si>
  <si>
    <t>LinearWestminsterGlass</t>
  </si>
  <si>
    <t>PrairieWestminsterGlass</t>
  </si>
  <si>
    <t>ReflectionsWestminsterGlass</t>
  </si>
  <si>
    <t>BeaumontWestminsterGlass</t>
  </si>
  <si>
    <t>DiamondCutWestminsterGlass</t>
  </si>
  <si>
    <t>ModenaWestminsterGlass</t>
  </si>
  <si>
    <t>MuranoWestminsterGlass</t>
  </si>
  <si>
    <t>VictorianBorderWestminsterGlass</t>
  </si>
  <si>
    <t>ZincStarWestminsterGlass</t>
  </si>
  <si>
    <t>AuroraHighburyGlass</t>
  </si>
  <si>
    <t>NewOrleansHighburyGlass</t>
  </si>
  <si>
    <t>SimplicityHighburyGlass</t>
  </si>
  <si>
    <t>GreenwichHighburyGlass</t>
  </si>
  <si>
    <t>KensingtonHighburyGlass</t>
  </si>
  <si>
    <t>MayfairHighburyGlass</t>
  </si>
  <si>
    <t>ClassicHighburyGlass</t>
  </si>
  <si>
    <t>EleganceHighburyGlass</t>
  </si>
  <si>
    <t>HorizonHighburyGlass</t>
  </si>
  <si>
    <t>LinearHighburyGlass</t>
  </si>
  <si>
    <t>MatrixHighburyGlass</t>
  </si>
  <si>
    <t>PrairieHighburyGlass</t>
  </si>
  <si>
    <t>ReflectionsHighburyGlass</t>
  </si>
  <si>
    <t>BeaumontHighburyGlass</t>
  </si>
  <si>
    <t>DiamondCutHighburyGlass</t>
  </si>
  <si>
    <t>ModenaHighburyGlass</t>
  </si>
  <si>
    <t>MuranoHighburyGlass</t>
  </si>
  <si>
    <t>VictorianBorderHighburyGlass</t>
  </si>
  <si>
    <t>ZincStarHighburyGlass</t>
  </si>
  <si>
    <t>ImpressionsKentGlass</t>
  </si>
  <si>
    <t>SticksRichmondGlass</t>
  </si>
  <si>
    <t>BullseyeRichmondGlass</t>
  </si>
  <si>
    <t>SticksSussexGlass</t>
  </si>
  <si>
    <t>BullseyeSussexGlass</t>
  </si>
  <si>
    <t>SticksBramptonGlass</t>
  </si>
  <si>
    <t>BullseyeBramptonGlass</t>
  </si>
  <si>
    <t>SticksHamiltonGlass</t>
  </si>
  <si>
    <t>BullseyeHamiltonGlass</t>
  </si>
  <si>
    <t>SticksMontroseGlass</t>
  </si>
  <si>
    <t>BullseyeMontroseGlass</t>
  </si>
  <si>
    <t>ImpressionsWinslow1Glass</t>
  </si>
  <si>
    <t>KensingtonBramptonGlass</t>
  </si>
  <si>
    <t>StandardAbercornGlass</t>
  </si>
  <si>
    <t>StandardCornwallGlass</t>
  </si>
  <si>
    <t>composite_sidelight_bar_g1</t>
  </si>
  <si>
    <t>19.17</t>
  </si>
  <si>
    <t>composite_sidelight_bar_g2</t>
  </si>
  <si>
    <t>28.20</t>
  </si>
  <si>
    <t>composite_sidelight_bar_g3</t>
  </si>
  <si>
    <t>32.46</t>
  </si>
  <si>
    <t>composite_sidelight_coupler_g1</t>
  </si>
  <si>
    <t>29.42</t>
  </si>
  <si>
    <t>composite_sidelight_coupler_g2</t>
  </si>
  <si>
    <t>36.20</t>
  </si>
  <si>
    <t>composite_sidelight_coupler_g3</t>
  </si>
  <si>
    <t>16.88</t>
  </si>
  <si>
    <t>composite_sidelight_frame_1600_g1</t>
  </si>
  <si>
    <t>16.79</t>
  </si>
  <si>
    <t>composite_sidelight_frame_1600_g2</t>
  </si>
  <si>
    <t>32.22</t>
  </si>
  <si>
    <t>composite_sidelight_frame_1600_g3</t>
  </si>
  <si>
    <t>37.08</t>
  </si>
  <si>
    <t>composite_sidelight_frame_2600_g1</t>
  </si>
  <si>
    <t>27.28</t>
  </si>
  <si>
    <t>composite_sidelight_frame_2600_g2</t>
  </si>
  <si>
    <t>52.37</t>
  </si>
  <si>
    <t>composite_sidelight_frame_2600_g3</t>
  </si>
  <si>
    <t>60.26</t>
  </si>
  <si>
    <t>composite_sidelight_frame_3600_g1</t>
  </si>
  <si>
    <t>37.78</t>
  </si>
  <si>
    <t>composite_sidelight_frame_3600_g2</t>
  </si>
  <si>
    <t>72.50</t>
  </si>
  <si>
    <t>composite_sidelight_frame_3600_g3</t>
  </si>
  <si>
    <t>83.44</t>
  </si>
  <si>
    <t>composite_sidelight_frame_4600_g1</t>
  </si>
  <si>
    <t>48.27</t>
  </si>
  <si>
    <t>composite_sidelight_frame_4600_g2</t>
  </si>
  <si>
    <t>92.65</t>
  </si>
  <si>
    <t>composite_sidelight_frame_4600_g3</t>
  </si>
  <si>
    <t>106.62</t>
  </si>
  <si>
    <t>composite_sidelight_frame_5600_g1</t>
  </si>
  <si>
    <t>58.87</t>
  </si>
  <si>
    <t>composite_sidelight_frame_5600_g2</t>
  </si>
  <si>
    <t>112.79</t>
  </si>
  <si>
    <t>composite_sidelight_frame_5600_g3</t>
  </si>
  <si>
    <t>129.80</t>
  </si>
  <si>
    <t>composite_sidelight_frame_6600_g1</t>
  </si>
  <si>
    <t>69.25</t>
  </si>
  <si>
    <t>composite_sidelight_frame_6600_g2</t>
  </si>
  <si>
    <t>132.93</t>
  </si>
  <si>
    <t>composite_sidelight_frame_6600_g3</t>
  </si>
  <si>
    <t>152.97</t>
  </si>
  <si>
    <t>composite_sidelight_frame_7600_g1</t>
  </si>
  <si>
    <t>79.74</t>
  </si>
  <si>
    <t>composite_sidelight_frame_7600_g2</t>
  </si>
  <si>
    <t>153.28</t>
  </si>
  <si>
    <t>composite_sidelight_frame_7600_g3</t>
  </si>
  <si>
    <t>176.15</t>
  </si>
  <si>
    <t>composite_sidelight_frame_8600_g1</t>
  </si>
  <si>
    <t>composite_sidelight_frame_8600_g2</t>
  </si>
  <si>
    <t>composite_sidelight_frame_8600_g3</t>
  </si>
  <si>
    <t>composite_sidelight_frame_max_g1</t>
  </si>
  <si>
    <t>90.23</t>
  </si>
  <si>
    <t>composite_sidelight_frame_max_g2</t>
  </si>
  <si>
    <t>173.21</t>
  </si>
  <si>
    <t>composite_sidelight_frame_max_g3</t>
  </si>
  <si>
    <t>199.33</t>
  </si>
  <si>
    <t>composite_sidelight_glass_clear_toughened</t>
  </si>
  <si>
    <t>54.46</t>
  </si>
  <si>
    <t>non-discountable</t>
  </si>
  <si>
    <t>composite_sidelight_glass_obscure_toughened</t>
  </si>
  <si>
    <t>63.54</t>
  </si>
  <si>
    <t>composite_sidelight_glass_clear_laminated</t>
  </si>
  <si>
    <t>66.56</t>
  </si>
  <si>
    <t>composite_sidelight_glass_obscure_laminated</t>
  </si>
  <si>
    <t>92.28</t>
  </si>
  <si>
    <t>composite_sidelight_glass_design</t>
  </si>
  <si>
    <t>64.84</t>
  </si>
  <si>
    <t>pricefile</t>
  </si>
  <si>
    <t>trade/trade/retail</t>
  </si>
  <si>
    <t>name</t>
  </si>
  <si>
    <t>id</t>
  </si>
  <si>
    <t>delivery charge</t>
  </si>
  <si>
    <t>all markup</t>
  </si>
  <si>
    <t>aluminium markup</t>
  </si>
  <si>
    <t>upvc markup</t>
  </si>
  <si>
    <t>glass markup</t>
  </si>
  <si>
    <t>composite markup</t>
  </si>
  <si>
    <t>overrides</t>
  </si>
  <si>
    <t>Trade</t>
  </si>
  <si>
    <t>trade</t>
  </si>
  <si>
    <t>No</t>
  </si>
  <si>
    <t>Partner</t>
  </si>
  <si>
    <t>partner</t>
  </si>
  <si>
    <t>Retail</t>
  </si>
  <si>
    <t>retail</t>
  </si>
  <si>
    <t>price file</t>
  </si>
  <si>
    <t>pricing key</t>
  </si>
  <si>
    <t>value</t>
  </si>
  <si>
    <t>patio_2_</t>
  </si>
  <si>
    <t>patio_3_</t>
  </si>
  <si>
    <t>patio_4_</t>
  </si>
  <si>
    <t>patio_mono_2_</t>
  </si>
  <si>
    <t>patio_mono_4_</t>
  </si>
  <si>
    <t>matrix</t>
  </si>
  <si>
    <t/>
  </si>
  <si>
    <t>cortizo_patio_2_</t>
  </si>
  <si>
    <t>cortizo_patio_3_</t>
  </si>
  <si>
    <t>cortizo_patio_4_</t>
  </si>
  <si>
    <t>shaped_s5_</t>
  </si>
  <si>
    <t>shaped_s4_</t>
  </si>
  <si>
    <t>shaped_s3_</t>
  </si>
  <si>
    <t>rooflight_</t>
  </si>
  <si>
    <t>lantern_</t>
  </si>
  <si>
    <t>base cost</t>
  </si>
  <si>
    <t>internal_single_door</t>
  </si>
  <si>
    <t>internal_french_door</t>
  </si>
  <si>
    <t>internal_single_lockbox</t>
  </si>
  <si>
    <t>internal_french_lockbox</t>
  </si>
  <si>
    <t>internal_sidelight</t>
  </si>
  <si>
    <t>internal_toplight</t>
  </si>
  <si>
    <t>internal_patio_barn_one</t>
  </si>
  <si>
    <t>internal_patio_barn_two</t>
  </si>
  <si>
    <t>internal_patio_two</t>
  </si>
  <si>
    <t>internal_patio_four</t>
  </si>
  <si>
    <t>internal_glass_clear_sqm</t>
  </si>
  <si>
    <t>internal_glass_obscured_sqm</t>
  </si>
  <si>
    <t>cutoffs</t>
  </si>
  <si>
    <t>glassWidthAndHeight6mmWidth</t>
  </si>
  <si>
    <t>6mm requires both width and height</t>
  </si>
  <si>
    <t>glassWidthAndHeight6mmHeight</t>
  </si>
  <si>
    <t>glassWidthOversized</t>
  </si>
  <si>
    <t xml:space="preserve">oversized requires width or height or sqm </t>
  </si>
  <si>
    <t>glassHeightOversized</t>
  </si>
  <si>
    <t>glassSqmOversized</t>
  </si>
  <si>
    <t>options</t>
  </si>
  <si>
    <t>hasDisabledToeHeelAdjuster</t>
  </si>
  <si>
    <t>hasDisabledLiftAndSlide</t>
  </si>
  <si>
    <t>hasDisabledAdjustableJamb</t>
  </si>
  <si>
    <t>hasDisabledCornerPost</t>
  </si>
  <si>
    <t>hasDisabledFloatingCorner</t>
  </si>
  <si>
    <t>hasDisabledBifoldExternalHandle</t>
  </si>
  <si>
    <t>hasDisabledBifoldHandle_steel</t>
  </si>
  <si>
    <t>hasDisabledBifoldHandle_rose_gold</t>
  </si>
  <si>
    <t>Works with any handle code in the form `hasDisabledBifoldHandle_{handle}`</t>
  </si>
  <si>
    <t>NameOfWindowHandle_steel</t>
  </si>
  <si>
    <t>Satin</t>
  </si>
  <si>
    <t>hasDisabledSidelights</t>
  </si>
  <si>
    <t>hasEnabledCillHorns</t>
  </si>
  <si>
    <t>hasEnabledDoorCylinder</t>
  </si>
  <si>
    <t>doorCylinderName</t>
  </si>
  <si>
    <t>Override the door cylinder name when enabled</t>
  </si>
  <si>
    <t>hasDisabledVentInBifoldFrame</t>
  </si>
  <si>
    <t>hasDisabledVentInBifoldSashes</t>
  </si>
  <si>
    <t>hasDisabledVentInPatioFrame</t>
  </si>
  <si>
    <t>hasEnabledVentInPatioSashes</t>
  </si>
  <si>
    <t>hasDisabledHoodedVent</t>
  </si>
  <si>
    <t>hasEnabledPatioFMFStyles</t>
  </si>
  <si>
    <t>hasDisabledUntoughenedGlass</t>
  </si>
  <si>
    <t>hasDisabledGlassForInternalOrders</t>
  </si>
  <si>
    <t>hasEnabledAstragalInUnglazed</t>
  </si>
  <si>
    <t>hasDisabledMonorail</t>
  </si>
  <si>
    <t>hasDisabledTransom</t>
  </si>
  <si>
    <t>enabledObscuredPatterns</t>
  </si>
  <si>
    <t>Requires / separated glass codes, please ask technical</t>
  </si>
  <si>
    <t>disabledGlassOptions</t>
  </si>
  <si>
    <t>partsStrategy</t>
  </si>
  <si>
    <t>ultra</t>
  </si>
  <si>
    <t>Used to add the extra price for bifold low e glass key</t>
  </si>
  <si>
    <t>sqmSkuThresholds</t>
  </si>
  <si>
    <t>Requires / separated thresholds, Will emit skus of the form `glass_over_${threshold}_fixed`</t>
  </si>
  <si>
    <t>enabledPatioHandles</t>
  </si>
  <si>
    <t>white/black/gold/chrome/satin/coastal_black/coastal_steel</t>
  </si>
  <si>
    <t>Requires / separated handle codes, please ask technical</t>
  </si>
  <si>
    <t>enabledPatioLiftAndSlideHandles</t>
  </si>
  <si>
    <t>enabledBifoldThresholdOptions</t>
  </si>
  <si>
    <t>standard/low/integrated</t>
  </si>
  <si>
    <t>Requires / separated threshold codes, please ask technical</t>
  </si>
  <si>
    <t>enabledWindowAddons</t>
  </si>
  <si>
    <t>0/20/38</t>
  </si>
  <si>
    <t>Requires / separated addon codes, please ask technical</t>
  </si>
  <si>
    <t>enabledBifoldCills</t>
  </si>
  <si>
    <t>0/90/150/180/230/integrated</t>
  </si>
  <si>
    <t>Requires / separated cill codes, please ask technical</t>
  </si>
  <si>
    <t>enabledPatioCills</t>
  </si>
  <si>
    <t>0/230/250</t>
  </si>
  <si>
    <t>enabledWindowCills</t>
  </si>
  <si>
    <t>0/90/150/180/230</t>
  </si>
  <si>
    <t>hasDisabledTiltTurn</t>
  </si>
  <si>
    <t>hasEnabledVentInWindowSashes</t>
  </si>
  <si>
    <t>hasForcedInterlock25</t>
  </si>
  <si>
    <t>hasDisabledPatioRLRL</t>
  </si>
  <si>
    <t>hasDisabledWindowInternallyBeaded</t>
  </si>
  <si>
    <t>hasDisabledPatioTransom</t>
  </si>
  <si>
    <t>NameOfWindowOpener_F</t>
  </si>
  <si>
    <t>Fixed (externally beaded)</t>
  </si>
  <si>
    <t>toggles</t>
  </si>
  <si>
    <t>webshopEnabled</t>
  </si>
  <si>
    <t>hideRetailPriceAfterContact</t>
  </si>
  <si>
    <t>glassPriceOverrideEnabled</t>
  </si>
  <si>
    <t>aluminiumMarkupsByProductEnabled</t>
  </si>
  <si>
    <t>disableRequestedDeliveryDate</t>
  </si>
  <si>
    <t>allowPayments</t>
  </si>
  <si>
    <t>showWatermark</t>
  </si>
  <si>
    <t>shouldShowGlassSizes</t>
  </si>
  <si>
    <t>retailDiscountCodesEnabled</t>
  </si>
  <si>
    <t>Should not be enabled until clients discount codes have been implemented</t>
  </si>
  <si>
    <t>systemDeliveryEnabled</t>
  </si>
  <si>
    <t>Should not be enabled until clients delivery logic has been implemented</t>
  </si>
  <si>
    <t>disabledSalesHubs</t>
  </si>
  <si>
    <t xml:space="preserve">Requires / separated customer IDs </t>
  </si>
  <si>
    <t>footerText</t>
  </si>
  <si>
    <t xml:space="preserve">QUOTATION TERMS AND CONDITIONS
We are pleased to supply an estimate as detailed. This quote is only valid for 30 days, thereafter prices may be subject to change.
Please be aware, unless otherwise specified, we have processed your order on the basis that:
• All drawings are viewed from outside. Bay measurements are given from inside. Aluminium baypoles are not load bearing.
• All window opening lights and dummy sashes to be internally beaded.
• All sizes are finished frame sizes, inclusive of any frame extensions such as subcills and add-ons. We do not make allowances for tolerance, sunken frames or any other fitting details.
• Unless you have specified 'no cill' or a particular subcill on your order, we will allow 150mm subcills (or the default subcill/drainage base for the system) as standard.
• All subcills are cut to the exact frame width unless stated otherwise. Subcill depth may vary by +/- 10mm based on the extruder used. The subcill extruder/brand will be chosen by Ultra Windows &amp; Bifold LTD to best suit with the products ordered.
• All cill end caps can come in either black, grey or white. Grey cills come with either black or grey end caps depending on availability.
• Astragal bars are supplied in full lengths.
• Frames longer than 3000mm in any dimension may be coupled. Cills over 3000mm may be split and supplied with joiners.
• Shaped windows can be manufactured in-house and they will not be covered by guarantee and our visual standards will not apply.
• Lead times will be confirmed at the point of order. Special RAL coloured frames have an extended lead time.
• All glass is supplied to GGF visual standards. No higher specification than this should be assumed.
Please note: All lead times given are estimates only based on the best information available at the time. Although we will endeavor to meet the specified date, Ultra Windows &amp; Bifold LTD will not be liable for any direct or consequential loss resulting from delays.
Collection / Delivery:
• Deliveries are subject to availability and require a minimum of 2 days' notice.
• Collections must be arranged in advance and will only be handled at the allocated timeslot.
• Delivery and collection requests are to be made through email only sales@ultrawindows.co.uk
• All outstanding payments must be made with cleared funds two working days before the stated delivery/collection date.
• Specific times for delivery cannot be guaranteed.
• Customers are required to make suitable arrangements to ensure capacity is present to receive goods. Customers are also to ensure that all delivery addresses are correct at the time of booking.
• Goods must be inspected and any defects reported via email within 24hours of receipt. Ultra Windows &amp; Bifold LTD will not accept any liability for any claims made outside of this time period.
• Glass units for beaded products will be supplied separately to be glazed on site.
• Deliveries outside of a 100 mile radius may be subject to an additional surcharge
If you would like to proceed with this quote as an order, please check that the specifications, sizes and designs meet your requirements. Please
confirm by signing the section at the bottom of this page and returning this back to us along with a deposit for 50% of the total job value. Goods
do not belong to you until paid for in full. We reserve the right to remove all unpaid items.
Please note that no orders will be processed until a deposit has been received, unless agreed in advance, in writing. The full outstanding amount
must be paid by cleared funds two working days before delivery or collection can take place. Card payments can be made to the office during
working hours (Monday-Friday 9am-5pm) or can be made through BACS transaction (confirmation of this must be sent to the office).
Bank details-
Natwest
Sort Code: 60-07-25
Account No: 53004353
Should you require any further assistance, please do not hesitate to contact our team.
Ultra Windows &amp; Bifold LTD. Vat No: 487455345 Company Reg: 16286735
I would like to proceed with this quotation as an order, and I confirm I have checked that the above designs, sizes and specifications are to my
Satisfaction.
Name:___________
Signed:___________
Date: ____________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</si>
</sst>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0.0"/>
      <color/>
      <name val="Arial"/>
    </font>
    <font>
      <b/>
      <sz val="10.0"/>
      <color/>
      <name val="Arial"/>
    </font>
  </fonts>
  <fills count="3">
    <fill>
      <patternFill patternType="none"/>
    </fill>
    <fill>
      <patternFill patternType="lightGray"/>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Font="1"/>
    <xf borderId="0" fillId="0" fontId="1" numFmtId="9" xfId="0" applyFont="1" applyNumberFormat="1"/>
    <xf borderId="0" fillId="0" fontId="1" numFmtId="10" xfId="0" applyFont="1" applyNumberFormat="1"/>
    <xf borderId="1" fillId="2" fontId="1" numFmtId="0" xfId="0" applyBorder="1" applyFill="1" applyFont="1"/>
    <xf borderId="0" fillId="0" fontId="1" numFmtId="0" xfId="0" applyAlignment="1" applyFont="1">
      <alignment horizontal="right"/>
    </xf>
    <xf borderId="0" fillId="0" fontId="1" numFmtId="10" xfId="0" applyAlignment="1" applyFont="1" applyNumberFormat="1">
      <alignment horizontal="right"/>
    </xf>
    <xf borderId="1" fillId="2" fontId="1" numFmtId="0" xfId="0" applyAlignment="1" applyBorder="1" applyFont="1">
      <alignment horizontal="right"/>
    </xf>
    <xf borderId="0" fillId="0" fontId="1" numFmtId="2" xfId="0" applyFont="1" applyNumberFormat="1"/>
    <xf borderId="0" fillId="0" fontId="1" numFmtId="4" xfId="0" applyFont="1" applyNumberFormat="1"/>
    <xf borderId="0" fillId="0" fontId="1" numFmtId="4" xfId="0" applyAlignment="1" applyFont="1" applyNumberFormat="1">
      <alignment horizontal="right"/>
    </xf>
    <xf borderId="0" fillId="0" fontId="2" numFmtId="0" xfId="0" applyFont="1"/>
    <xf borderId="0" fillId="0" fontId="1" numFmtId="2" xfId="0" applyAlignment="1" applyFont="1" applyNumberForma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0" Type="http://schemas.openxmlformats.org/officeDocument/2006/relationships/worksheet" Target="worksheets/sheet2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7.71"/>
    <col customWidth="1" min="2" max="26" width="12.57"/>
  </cols>
  <sheetData>
    <row r="1" ht="15.75" customHeight="1">
      <c r="A1" s="1" t="s">
        <v>0</v>
      </c>
      <c r="B1" s="1" t="s">
        <v>1</v>
      </c>
      <c r="C1" s="1" t="s">
        <v>2</v>
      </c>
      <c r="Z1" s="1" t="s">
        <v>3</v>
      </c>
    </row>
    <row r="2" ht="15.75" customHeight="1">
      <c r="A2" s="1" t="s">
        <v>4</v>
      </c>
      <c r="B2" s="2">
        <v>-0.65</v>
      </c>
      <c r="C2" s="2">
        <v>1.08</v>
      </c>
      <c r="Z2" s="3" t="str">
        <f t="shared" ref="Z2:Z10" si="1">(1+B2)*(1+C2)-1</f>
        <v>-27.20%</v>
      </c>
    </row>
    <row r="3" ht="15.75" customHeight="1">
      <c r="A3" s="1" t="s">
        <v>5</v>
      </c>
      <c r="B3" s="2">
        <v>-0.65</v>
      </c>
      <c r="C3" s="2">
        <v>1.08</v>
      </c>
      <c r="Z3" s="3" t="str">
        <f t="shared" si="1"/>
        <v>-27.20%</v>
      </c>
    </row>
    <row r="4" ht="15.75" customHeight="1">
      <c r="A4" s="1" t="s">
        <v>6</v>
      </c>
      <c r="B4" s="2">
        <v>-0.65</v>
      </c>
      <c r="C4" s="2">
        <v>0.9</v>
      </c>
      <c r="Z4" s="3" t="str">
        <f t="shared" si="1"/>
        <v>-33.50%</v>
      </c>
    </row>
    <row r="5" ht="15.75" customHeight="1">
      <c r="A5" s="1" t="s">
        <v>7</v>
      </c>
      <c r="B5" s="2">
        <v>-0.55</v>
      </c>
      <c r="C5" s="2">
        <v>0.9</v>
      </c>
      <c r="Z5" s="3" t="str">
        <f t="shared" si="1"/>
        <v>-14.50%</v>
      </c>
    </row>
    <row r="6" ht="15.75" customHeight="1">
      <c r="A6" s="1" t="s">
        <v>8</v>
      </c>
      <c r="B6" s="2">
        <v>-0.65</v>
      </c>
      <c r="C6" s="2">
        <v>1.15</v>
      </c>
      <c r="Z6" s="3" t="str">
        <f t="shared" si="1"/>
        <v>-24.75%</v>
      </c>
    </row>
    <row r="7" ht="15.75" customHeight="1">
      <c r="A7" s="1" t="s">
        <v>9</v>
      </c>
      <c r="B7" s="2">
        <v>-0.65</v>
      </c>
      <c r="C7" s="2">
        <v>1.15</v>
      </c>
      <c r="Z7" s="3" t="str">
        <f t="shared" si="1"/>
        <v>-24.75%</v>
      </c>
    </row>
    <row r="8" ht="15.75" customHeight="1">
      <c r="A8" s="1" t="s">
        <v>10</v>
      </c>
      <c r="B8" s="2">
        <v>-0.55</v>
      </c>
      <c r="C8" s="2">
        <v>0.9</v>
      </c>
      <c r="Z8" s="3" t="str">
        <f t="shared" si="1"/>
        <v>-14.50%</v>
      </c>
    </row>
    <row r="9" ht="15.75" customHeight="1">
      <c r="A9" s="1" t="s">
        <v>11</v>
      </c>
      <c r="B9" s="2">
        <v>-0.55</v>
      </c>
      <c r="C9" s="2">
        <v>0.9</v>
      </c>
      <c r="Z9" s="3" t="str">
        <f t="shared" si="1"/>
        <v>-14.50%</v>
      </c>
    </row>
    <row r="10" ht="15.75" customHeight="1">
      <c r="A10" s="1" t="s">
        <v>12</v>
      </c>
      <c r="B10" s="2">
        <v>-0.55</v>
      </c>
      <c r="C10" s="2">
        <v>0.9</v>
      </c>
      <c r="Z10" s="3" t="str">
        <f t="shared" si="1"/>
        <v>-14.50%</v>
      </c>
    </row>
    <row r="11" ht="15.75" customHeight="1">
      <c r="A11" s="1" t="s">
        <v>13</v>
      </c>
      <c r="B11" s="2">
        <v>-0.7</v>
      </c>
      <c r="C11" s="2">
        <v>1.15</v>
      </c>
    </row>
    <row r="12" ht="15.75" customHeight="1">
      <c r="A12" s="1" t="s">
        <v>14</v>
      </c>
      <c r="B12" s="2">
        <v>-0.7</v>
      </c>
      <c r="C12" s="2">
        <v>1.15</v>
      </c>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0.43"/>
    <col customWidth="1" min="2" max="11" width="12.57"/>
  </cols>
  <sheetData>
    <row r="1" ht="15.75" customHeight="1">
      <c r="A1" s="1" t="s">
        <v>15</v>
      </c>
      <c r="B1" s="1" t="s">
        <v>16</v>
      </c>
      <c r="D1" s="1" t="s">
        <v>17</v>
      </c>
      <c r="F1" s="1" t="s">
        <v>18</v>
      </c>
    </row>
    <row r="2" ht="15.75" customHeight="1">
      <c r="A2" s="1" t="s">
        <v>19</v>
      </c>
      <c r="B2" s="4">
        <v>395.0</v>
      </c>
    </row>
    <row r="3" ht="15.75" customHeight="1">
      <c r="A3" s="1" t="s">
        <v>20</v>
      </c>
      <c r="B3" s="4">
        <v>0.0</v>
      </c>
    </row>
    <row r="4" ht="15.75" customHeight="1">
      <c r="A4" s="1" t="s">
        <v>21</v>
      </c>
      <c r="B4" s="4">
        <v>100.0</v>
      </c>
    </row>
    <row r="5" ht="15.75" customHeight="1">
      <c r="A5" s="1" t="s">
        <v>22</v>
      </c>
      <c r="B5" s="1" t="str">
        <f t="shared" ref="B5:B8" si="1">D5*(1+F5)</f>
        <v>17.29</v>
      </c>
      <c r="D5" s="1">
        <v>26.0</v>
      </c>
      <c r="F5" s="3" t="str">
        <f>MARKUP!$Z$4</f>
        <v>-33.50%</v>
      </c>
    </row>
    <row r="6" ht="15.75" customHeight="1">
      <c r="A6" s="1" t="s">
        <v>23</v>
      </c>
      <c r="B6" s="1" t="str">
        <f t="shared" si="1"/>
        <v>26.6</v>
      </c>
      <c r="D6" s="1">
        <v>40.0</v>
      </c>
      <c r="F6" s="3" t="str">
        <f>MARKUP!$Z$4</f>
        <v>-33.50%</v>
      </c>
    </row>
    <row r="7" ht="15.75" customHeight="1">
      <c r="A7" s="1" t="s">
        <v>24</v>
      </c>
      <c r="B7" s="1" t="str">
        <f t="shared" si="1"/>
        <v>28.595</v>
      </c>
      <c r="D7" s="1">
        <v>43.0</v>
      </c>
      <c r="F7" s="3" t="str">
        <f>MARKUP!$Z$4</f>
        <v>-33.50%</v>
      </c>
    </row>
    <row r="8" ht="15.75" customHeight="1">
      <c r="A8" s="1" t="s">
        <v>25</v>
      </c>
      <c r="B8" s="1" t="str">
        <f t="shared" si="1"/>
        <v>32.585</v>
      </c>
      <c r="D8" s="1">
        <v>49.0</v>
      </c>
      <c r="F8" s="3" t="str">
        <f>MARKUP!$Z$4</f>
        <v>-33.50%</v>
      </c>
    </row>
    <row r="9" ht="15.75" customHeight="1">
      <c r="A9" s="1" t="s">
        <v>26</v>
      </c>
      <c r="B9" s="1">
        <v>0.0</v>
      </c>
      <c r="D9" s="1">
        <v>18.0</v>
      </c>
      <c r="F9" s="3" t="str">
        <f>MARKUP!$Z$5</f>
        <v>-14.50%</v>
      </c>
    </row>
    <row r="10" ht="15.75" customHeight="1">
      <c r="A10" s="1" t="s">
        <v>27</v>
      </c>
      <c r="B10" s="1">
        <v>0.0</v>
      </c>
      <c r="D10" s="1">
        <v>18.0</v>
      </c>
      <c r="F10" s="3" t="str">
        <f>MARKUP!$Z$5</f>
        <v>-14.50%</v>
      </c>
    </row>
    <row r="11" ht="15.75" customHeight="1">
      <c r="A11" s="1" t="s">
        <v>28</v>
      </c>
      <c r="B11" s="1">
        <v>0.0</v>
      </c>
      <c r="D11" s="1">
        <v>18.0</v>
      </c>
      <c r="F11" s="3" t="str">
        <f>MARKUP!$Z$5</f>
        <v>-14.50%</v>
      </c>
    </row>
    <row r="12" ht="15.75" customHeight="1">
      <c r="A12" s="1" t="s">
        <v>29</v>
      </c>
      <c r="B12" s="1" t="str">
        <f t="shared" ref="B12:B17" si="2">D12*(1+F12)</f>
        <v>30.78</v>
      </c>
      <c r="D12" s="1">
        <v>36.0</v>
      </c>
      <c r="F12" s="3" t="str">
        <f>MARKUP!$Z$5</f>
        <v>-14.50%</v>
      </c>
    </row>
    <row r="13" ht="15.75" customHeight="1">
      <c r="A13" s="1" t="s">
        <v>30</v>
      </c>
      <c r="B13" s="1" t="str">
        <f t="shared" si="2"/>
        <v>36.765</v>
      </c>
      <c r="D13" s="1">
        <v>43.0</v>
      </c>
      <c r="F13" s="3" t="str">
        <f>MARKUP!$Z$5</f>
        <v>-14.50%</v>
      </c>
    </row>
    <row r="14" ht="15.75" customHeight="1">
      <c r="A14" s="1" t="s">
        <v>31</v>
      </c>
      <c r="B14" s="1" t="str">
        <f t="shared" si="2"/>
        <v>36.765</v>
      </c>
      <c r="D14" s="1">
        <v>43.0</v>
      </c>
      <c r="F14" s="3" t="str">
        <f>MARKUP!$Z$5</f>
        <v>-14.50%</v>
      </c>
    </row>
    <row r="15" ht="15.75" customHeight="1">
      <c r="A15" s="1" t="s">
        <v>32</v>
      </c>
      <c r="B15" s="1" t="str">
        <f t="shared" si="2"/>
        <v>36.765</v>
      </c>
      <c r="D15" s="1">
        <v>43.0</v>
      </c>
      <c r="F15" s="3" t="str">
        <f>MARKUP!$Z$5</f>
        <v>-14.50%</v>
      </c>
    </row>
    <row r="16" ht="15.75" customHeight="1">
      <c r="A16" s="1" t="s">
        <v>33</v>
      </c>
      <c r="B16" s="1" t="str">
        <f t="shared" si="2"/>
        <v>36.765</v>
      </c>
      <c r="D16" s="1">
        <v>43.0</v>
      </c>
      <c r="F16" s="3" t="str">
        <f>MARKUP!$Z$5</f>
        <v>-14.50%</v>
      </c>
    </row>
    <row r="17" ht="15.75" customHeight="1">
      <c r="A17" s="1" t="s">
        <v>34</v>
      </c>
      <c r="B17" s="1" t="str">
        <f t="shared" si="2"/>
        <v>94.05</v>
      </c>
      <c r="D17" s="1">
        <v>110.0</v>
      </c>
      <c r="F17" s="3" t="str">
        <f>MARKUP!$Z$5</f>
        <v>-14.50%</v>
      </c>
    </row>
    <row r="18" ht="15.75" customHeight="1">
      <c r="A18" s="1" t="s">
        <v>35</v>
      </c>
      <c r="B18" s="4">
        <v>75.0</v>
      </c>
    </row>
    <row r="19" ht="15.75" customHeight="1">
      <c r="A19" s="1" t="s">
        <v>36</v>
      </c>
      <c r="B19" s="4">
        <v>100.0</v>
      </c>
    </row>
    <row r="20" ht="15.75" customHeight="1">
      <c r="A20" s="1" t="s">
        <v>37</v>
      </c>
      <c r="B20" s="1">
        <v>0.0</v>
      </c>
    </row>
    <row r="21" ht="15.75" customHeight="1">
      <c r="A21" s="1" t="s">
        <v>38</v>
      </c>
      <c r="B21" s="4">
        <v>15.0</v>
      </c>
    </row>
    <row r="22" ht="15.75" customHeight="1">
      <c r="A22" s="1" t="s">
        <v>39</v>
      </c>
      <c r="B22" s="1" t="str">
        <f t="shared" ref="B22:B23" si="3">D22*(1+F22)</f>
        <v>16.625</v>
      </c>
      <c r="D22" s="1">
        <v>25.0</v>
      </c>
      <c r="F22" s="3" t="str">
        <f>MARKUP!$Z$4</f>
        <v>-33.50%</v>
      </c>
    </row>
    <row r="23" ht="15.75" customHeight="1">
      <c r="A23" s="1" t="s">
        <v>40</v>
      </c>
      <c r="B23" s="1" t="str">
        <f t="shared" si="3"/>
        <v>21.945</v>
      </c>
      <c r="D23" s="1">
        <v>33.0</v>
      </c>
      <c r="F23" s="3" t="str">
        <f>MARKUP!$Z$4</f>
        <v>-33.50%</v>
      </c>
    </row>
    <row r="24" ht="15.75" customHeight="1">
      <c r="A24" s="1" t="s">
        <v>41</v>
      </c>
      <c r="B24" s="4">
        <v>250.0</v>
      </c>
    </row>
    <row r="25" ht="15.75" customHeight="1">
      <c r="A25" s="1" t="s">
        <v>42</v>
      </c>
      <c r="B25" s="4">
        <v>0.0</v>
      </c>
    </row>
    <row r="26" ht="15.75" customHeight="1">
      <c r="A26" s="1" t="s">
        <v>43</v>
      </c>
      <c r="B26" s="4">
        <v>50.0</v>
      </c>
    </row>
    <row r="27" ht="15.75" customHeight="1">
      <c r="A27" s="1" t="s">
        <v>44</v>
      </c>
      <c r="B27" s="4">
        <v>50.0</v>
      </c>
    </row>
    <row r="28" ht="15.75" customHeight="1">
      <c r="A28" s="1" t="s">
        <v>45</v>
      </c>
      <c r="B28" s="4">
        <v>200.0</v>
      </c>
    </row>
    <row r="29" ht="15.75" customHeight="1">
      <c r="A29" s="1" t="s">
        <v>46</v>
      </c>
      <c r="B29" s="4">
        <v>30.0</v>
      </c>
    </row>
    <row r="30" ht="15.75" customHeight="1">
      <c r="A30" s="1" t="s">
        <v>47</v>
      </c>
      <c r="B30" s="1">
        <v>0.0</v>
      </c>
    </row>
    <row r="31" ht="15.75" customHeight="1">
      <c r="A31" s="1" t="s">
        <v>48</v>
      </c>
      <c r="B31" s="1">
        <v>55.0</v>
      </c>
      <c r="C31" s="1" t="s">
        <v>49</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4.71"/>
    <col customWidth="1" min="2" max="2" width="12.57"/>
    <col customWidth="1" min="3" max="3" width="28.0"/>
    <col customWidth="1" min="4" max="11" width="12.57"/>
  </cols>
  <sheetData>
    <row r="1" ht="15.75" customHeight="1">
      <c r="A1" s="1" t="s">
        <v>15</v>
      </c>
      <c r="B1" s="1" t="s">
        <v>16</v>
      </c>
      <c r="D1" s="1" t="s">
        <v>17</v>
      </c>
      <c r="F1" s="1" t="s">
        <v>18</v>
      </c>
    </row>
    <row r="2" ht="15.75" customHeight="1">
      <c r="A2" s="1" t="s">
        <v>50</v>
      </c>
      <c r="B2" s="1" t="str">
        <f t="shared" ref="B2:B3" si="1">D2*(1+F2)</f>
        <v>42.5915</v>
      </c>
      <c r="D2" s="1">
        <v>56.6</v>
      </c>
      <c r="F2" s="3" t="str">
        <f>MARKUP!$Z$6</f>
        <v>-24.75%</v>
      </c>
    </row>
    <row r="3" ht="15.75" customHeight="1">
      <c r="A3" s="1" t="s">
        <v>51</v>
      </c>
      <c r="B3" s="1" t="str">
        <f t="shared" si="1"/>
        <v>48.724375</v>
      </c>
      <c r="D3" s="1">
        <v>64.75</v>
      </c>
      <c r="F3" s="3" t="str">
        <f>MARKUP!$Z$6</f>
        <v>-24.75%</v>
      </c>
    </row>
    <row r="4" ht="15.75" customHeight="1">
      <c r="A4" s="1" t="s">
        <v>52</v>
      </c>
      <c r="B4" s="4">
        <v>200.0</v>
      </c>
      <c r="F4" s="3" t="str">
        <f>MARKUP!$Z$7</f>
        <v>-24.75%</v>
      </c>
    </row>
    <row r="5" ht="15.75" customHeight="1">
      <c r="A5" s="1" t="s">
        <v>53</v>
      </c>
      <c r="B5" s="4">
        <v>40.0</v>
      </c>
      <c r="F5" s="3" t="str">
        <f>MARKUP!$Z$7</f>
        <v>-24.75%</v>
      </c>
    </row>
    <row r="6" ht="15.75" customHeight="1">
      <c r="A6" s="1" t="s">
        <v>54</v>
      </c>
      <c r="B6" s="4" t="str">
        <f t="shared" ref="B6:B18" si="2">D6*(1+F6)</f>
        <v>0</v>
      </c>
      <c r="F6" s="3" t="str">
        <f>MARKUP!$Z$7</f>
        <v>-24.75%</v>
      </c>
    </row>
    <row r="7" ht="15.75" customHeight="1">
      <c r="A7" s="1" t="s">
        <v>55</v>
      </c>
      <c r="B7" s="4" t="str">
        <f t="shared" si="2"/>
        <v>0</v>
      </c>
      <c r="F7" s="3" t="str">
        <f>MARKUP!$Z$7</f>
        <v>-24.75%</v>
      </c>
    </row>
    <row r="8" ht="15.75" customHeight="1">
      <c r="A8" s="1" t="s">
        <v>56</v>
      </c>
      <c r="B8" s="1" t="str">
        <f t="shared" si="2"/>
        <v>30.1</v>
      </c>
      <c r="D8" s="1">
        <v>40.0</v>
      </c>
      <c r="F8" s="3" t="str">
        <f>MARKUP!$Z$6</f>
        <v>-24.75%</v>
      </c>
    </row>
    <row r="9" ht="15.75" customHeight="1">
      <c r="A9" s="1" t="s">
        <v>57</v>
      </c>
      <c r="B9" s="1" t="str">
        <f t="shared" si="2"/>
        <v>53.4275</v>
      </c>
      <c r="D9" s="1">
        <v>71.0</v>
      </c>
      <c r="F9" s="3" t="str">
        <f>MARKUP!$Z$7</f>
        <v>-24.75%</v>
      </c>
    </row>
    <row r="10" ht="15.75" customHeight="1">
      <c r="A10" s="1" t="s">
        <v>58</v>
      </c>
      <c r="B10" s="1" t="str">
        <f t="shared" si="2"/>
        <v>63.21</v>
      </c>
      <c r="D10" s="1">
        <v>84.0</v>
      </c>
      <c r="F10" s="3" t="str">
        <f>MARKUP!$Z$7</f>
        <v>-24.75%</v>
      </c>
    </row>
    <row r="11" ht="15.75" customHeight="1">
      <c r="A11" s="1" t="s">
        <v>59</v>
      </c>
      <c r="B11" s="1" t="str">
        <f t="shared" si="2"/>
        <v>45.9025</v>
      </c>
      <c r="D11" s="1">
        <v>61.0</v>
      </c>
      <c r="F11" s="3" t="str">
        <f>MARKUP!$Z$7</f>
        <v>-24.75%</v>
      </c>
    </row>
    <row r="12" ht="15.75" customHeight="1">
      <c r="A12" s="1" t="s">
        <v>60</v>
      </c>
      <c r="B12" s="1" t="str">
        <f t="shared" si="2"/>
        <v>25.585</v>
      </c>
      <c r="D12" s="1">
        <v>34.0</v>
      </c>
      <c r="F12" s="3" t="str">
        <f>MARKUP!$Z$7</f>
        <v>-24.75%</v>
      </c>
    </row>
    <row r="13" ht="15.75" customHeight="1">
      <c r="A13" s="1" t="s">
        <v>61</v>
      </c>
      <c r="B13" s="1" t="str">
        <f t="shared" si="2"/>
        <v>25.585</v>
      </c>
      <c r="D13" s="1">
        <v>34.0</v>
      </c>
      <c r="F13" s="3" t="str">
        <f>MARKUP!$Z$7</f>
        <v>-24.75%</v>
      </c>
    </row>
    <row r="14" ht="15.75" customHeight="1">
      <c r="A14" s="1" t="s">
        <v>62</v>
      </c>
      <c r="B14" s="1" t="str">
        <f t="shared" si="2"/>
        <v>52.675</v>
      </c>
      <c r="C14" s="1" t="s">
        <v>63</v>
      </c>
      <c r="D14" s="1">
        <v>70.0</v>
      </c>
      <c r="F14" s="3" t="str">
        <f>MARKUP!$Z$7</f>
        <v>-24.75%</v>
      </c>
    </row>
    <row r="15" ht="15.75" customHeight="1">
      <c r="A15" s="1" t="s">
        <v>64</v>
      </c>
      <c r="B15" s="1" t="str">
        <f t="shared" si="2"/>
        <v>167.055</v>
      </c>
      <c r="D15" s="1">
        <v>222.0</v>
      </c>
      <c r="F15" s="3" t="str">
        <f>MARKUP!$Z$7</f>
        <v>-24.75%</v>
      </c>
    </row>
    <row r="16" ht="15.75" customHeight="1">
      <c r="A16" s="1" t="s">
        <v>65</v>
      </c>
      <c r="B16" s="1" t="str">
        <f t="shared" si="2"/>
        <v>312.2875</v>
      </c>
      <c r="D16" s="1">
        <v>415.0</v>
      </c>
      <c r="F16" s="3" t="str">
        <f>MARKUP!$Z$7</f>
        <v>-24.75%</v>
      </c>
    </row>
    <row r="17" ht="15.75" customHeight="1">
      <c r="A17" s="1" t="s">
        <v>66</v>
      </c>
      <c r="B17" s="5" t="str">
        <f t="shared" si="2"/>
        <v>79.765</v>
      </c>
      <c r="C17" s="1"/>
      <c r="D17" s="5">
        <v>106.0</v>
      </c>
      <c r="E17" s="1"/>
      <c r="F17" s="6" t="str">
        <f>MARKUP!$Z$7</f>
        <v>-24.75%</v>
      </c>
    </row>
    <row r="18" ht="15.75" customHeight="1">
      <c r="A18" s="1" t="s">
        <v>67</v>
      </c>
      <c r="B18" s="5" t="str">
        <f t="shared" si="2"/>
        <v>79.765</v>
      </c>
      <c r="C18" s="1"/>
      <c r="D18" s="5">
        <v>106.0</v>
      </c>
      <c r="E18" s="1"/>
      <c r="F18" s="6" t="str">
        <f>MARKUP!$Z$7</f>
        <v>-24.75%</v>
      </c>
    </row>
    <row r="19" ht="15.75" customHeight="1">
      <c r="A19" s="1" t="s">
        <v>68</v>
      </c>
      <c r="B19" s="4">
        <v>300.0</v>
      </c>
    </row>
    <row r="20" ht="15.75" customHeight="1">
      <c r="A20" s="1" t="s">
        <v>69</v>
      </c>
      <c r="B20" s="4">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2.86"/>
    <col customWidth="1" min="2" max="11" width="12.57"/>
  </cols>
  <sheetData>
    <row r="1" ht="15.75" customHeight="1">
      <c r="A1" s="1" t="s">
        <v>15</v>
      </c>
      <c r="B1" s="1" t="s">
        <v>16</v>
      </c>
    </row>
    <row r="2" ht="15.75" customHeight="1">
      <c r="A2" s="1" t="s">
        <v>70</v>
      </c>
      <c r="B2" s="1">
        <v>37.638999999999996</v>
      </c>
    </row>
    <row r="3" ht="15.75" customHeight="1">
      <c r="A3" s="1" t="s">
        <v>71</v>
      </c>
      <c r="B3" s="1" t="str">
        <f>patio!B2</f>
        <v>42.5915</v>
      </c>
    </row>
    <row r="4" ht="15.75" customHeight="1">
      <c r="A4" s="1" t="s">
        <v>72</v>
      </c>
      <c r="B4" s="1" t="str">
        <f>patio!B3</f>
        <v>48.724375</v>
      </c>
    </row>
    <row r="5" ht="15.75" customHeight="1">
      <c r="A5" s="1" t="s">
        <v>73</v>
      </c>
      <c r="B5" s="1" t="str">
        <f>patio!B5</f>
        <v>40</v>
      </c>
    </row>
    <row r="6" ht="15.75" customHeight="1">
      <c r="A6" s="1" t="s">
        <v>74</v>
      </c>
      <c r="B6" s="1" t="str">
        <f>patio!B6</f>
        <v>0</v>
      </c>
    </row>
    <row r="7" ht="15.75" customHeight="1">
      <c r="A7" s="1" t="s">
        <v>75</v>
      </c>
      <c r="B7" s="1" t="str">
        <f>patio!B8</f>
        <v>30.1</v>
      </c>
    </row>
    <row r="8" ht="15.75" customHeight="1">
      <c r="A8" s="1" t="s">
        <v>76</v>
      </c>
      <c r="B8" s="1" t="str">
        <f>patio!B19</f>
        <v>300</v>
      </c>
    </row>
    <row r="9" ht="15.75" customHeight="1">
      <c r="A9" s="1" t="s">
        <v>77</v>
      </c>
      <c r="B9" s="1" t="str">
        <f>patio!B20</f>
        <v>0</v>
      </c>
    </row>
    <row r="10" ht="15.75" customHeight="1">
      <c r="A10" s="1" t="s">
        <v>78</v>
      </c>
      <c r="B10" s="1" t="str">
        <f>B11</f>
        <v>25.585</v>
      </c>
    </row>
    <row r="11" ht="15.75" customHeight="1">
      <c r="A11" s="1" t="s">
        <v>79</v>
      </c>
      <c r="B11" s="1" t="str">
        <f>patio!B12</f>
        <v>25.585</v>
      </c>
    </row>
    <row r="12" ht="15.75" customHeight="1">
      <c r="A12" s="1" t="s">
        <v>80</v>
      </c>
      <c r="B12" s="1" t="str">
        <f>patio!B13</f>
        <v>25.585</v>
      </c>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4.57"/>
    <col customWidth="1" min="2" max="11" width="12.57"/>
  </cols>
  <sheetData>
    <row r="1" ht="15.75" customHeight="1">
      <c r="A1" s="1" t="s">
        <v>15</v>
      </c>
      <c r="B1" s="1" t="s">
        <v>16</v>
      </c>
      <c r="D1" s="1" t="s">
        <v>17</v>
      </c>
      <c r="F1" s="1" t="s">
        <v>18</v>
      </c>
    </row>
    <row r="2" ht="15.75" customHeight="1">
      <c r="A2" s="1" t="s">
        <v>81</v>
      </c>
      <c r="B2" s="5" t="str">
        <f t="shared" ref="B2:B26" si="1">D2*(1+F2)</f>
        <v>22.48792</v>
      </c>
      <c r="D2" s="5">
        <v>30.89</v>
      </c>
      <c r="F2" s="3" t="str">
        <f>MARKUP!$Z$2</f>
        <v>-27.20%</v>
      </c>
    </row>
    <row r="3" ht="15.75" customHeight="1">
      <c r="A3" s="1" t="s">
        <v>82</v>
      </c>
      <c r="B3" s="5" t="str">
        <f t="shared" si="1"/>
        <v>12.8856</v>
      </c>
      <c r="D3" s="5">
        <v>17.7</v>
      </c>
      <c r="F3" s="3" t="str">
        <f>MARKUP!$Z$3</f>
        <v>-27.20%</v>
      </c>
    </row>
    <row r="4" ht="15.75" customHeight="1">
      <c r="A4" s="1" t="s">
        <v>83</v>
      </c>
      <c r="B4" s="5" t="str">
        <f t="shared" si="1"/>
        <v>38.78784</v>
      </c>
      <c r="D4" s="5">
        <v>53.28</v>
      </c>
      <c r="F4" s="3" t="str">
        <f>MARKUP!$Z$3</f>
        <v>-27.20%</v>
      </c>
    </row>
    <row r="5" ht="15.75" customHeight="1">
      <c r="A5" s="1" t="s">
        <v>84</v>
      </c>
      <c r="B5" s="5" t="str">
        <f t="shared" si="1"/>
        <v>22.48792</v>
      </c>
      <c r="D5" s="5">
        <v>30.89</v>
      </c>
      <c r="F5" s="3" t="str">
        <f>MARKUP!$Z$2</f>
        <v>-27.20%</v>
      </c>
    </row>
    <row r="6" ht="15.75" customHeight="1">
      <c r="A6" s="1" t="s">
        <v>85</v>
      </c>
      <c r="B6" s="5" t="str">
        <f t="shared" si="1"/>
        <v>23.90752</v>
      </c>
      <c r="D6" s="5">
        <v>32.84</v>
      </c>
      <c r="F6" s="3" t="str">
        <f>MARKUP!$Z$2</f>
        <v>-27.20%</v>
      </c>
    </row>
    <row r="7" ht="15.75" customHeight="1">
      <c r="A7" s="1" t="s">
        <v>86</v>
      </c>
      <c r="B7" s="5" t="str">
        <f t="shared" si="1"/>
        <v>9.62416</v>
      </c>
      <c r="D7" s="5">
        <v>13.22</v>
      </c>
      <c r="F7" s="3" t="str">
        <f>MARKUP!$Z$3</f>
        <v>-27.20%</v>
      </c>
    </row>
    <row r="8" ht="15.75" customHeight="1">
      <c r="A8" s="1" t="s">
        <v>87</v>
      </c>
      <c r="B8" s="5" t="str">
        <f t="shared" si="1"/>
        <v>2.3296</v>
      </c>
      <c r="D8" s="5">
        <v>3.2</v>
      </c>
      <c r="F8" s="3" t="str">
        <f>MARKUP!$Z$2</f>
        <v>-27.20%</v>
      </c>
    </row>
    <row r="9" ht="15.75" customHeight="1">
      <c r="A9" s="1" t="s">
        <v>88</v>
      </c>
      <c r="B9" s="5" t="str">
        <f t="shared" si="1"/>
        <v>5.64928</v>
      </c>
      <c r="D9" s="5">
        <v>7.76</v>
      </c>
      <c r="F9" s="3" t="str">
        <f>MARKUP!$Z$2</f>
        <v>-27.20%</v>
      </c>
    </row>
    <row r="10" ht="15.75" customHeight="1">
      <c r="A10" s="1" t="s">
        <v>89</v>
      </c>
      <c r="B10" s="5" t="str">
        <f t="shared" si="1"/>
        <v>24.0604</v>
      </c>
      <c r="D10" s="5">
        <v>33.05</v>
      </c>
      <c r="F10" s="3" t="str">
        <f>MARKUP!$Z$2</f>
        <v>-27.20%</v>
      </c>
    </row>
    <row r="11" ht="15.75" customHeight="1">
      <c r="A11" s="1" t="s">
        <v>90</v>
      </c>
      <c r="B11" s="5" t="str">
        <f t="shared" si="1"/>
        <v>12.8856</v>
      </c>
      <c r="D11" s="5">
        <v>17.7</v>
      </c>
      <c r="F11" s="3" t="str">
        <f>MARKUP!$Z$3</f>
        <v>-27.20%</v>
      </c>
    </row>
    <row r="12" ht="15.75" customHeight="1">
      <c r="A12" s="1" t="s">
        <v>91</v>
      </c>
      <c r="B12" s="5" t="str">
        <f t="shared" si="1"/>
        <v>158.62392</v>
      </c>
      <c r="D12" s="5">
        <v>217.89</v>
      </c>
      <c r="F12" s="3" t="str">
        <f>MARKUP!$Z$3</f>
        <v>-27.20%</v>
      </c>
    </row>
    <row r="13" ht="15.75" customHeight="1">
      <c r="A13" s="1" t="s">
        <v>92</v>
      </c>
      <c r="B13" s="5" t="str">
        <f t="shared" si="1"/>
        <v>22.48792</v>
      </c>
      <c r="D13" s="5">
        <v>30.89</v>
      </c>
      <c r="F13" s="3" t="str">
        <f>MARKUP!$Z$2</f>
        <v>-27.20%</v>
      </c>
    </row>
    <row r="14" ht="15.75" customHeight="1">
      <c r="A14" s="1" t="s">
        <v>93</v>
      </c>
      <c r="B14" s="5" t="str">
        <f t="shared" si="1"/>
        <v>24.47536</v>
      </c>
      <c r="D14" s="5">
        <v>33.62</v>
      </c>
      <c r="F14" s="3" t="str">
        <f>MARKUP!$Z$2</f>
        <v>-27.20%</v>
      </c>
    </row>
    <row r="15" ht="15.75" customHeight="1">
      <c r="A15" s="1" t="s">
        <v>94</v>
      </c>
      <c r="B15" s="5" t="str">
        <f t="shared" si="1"/>
        <v>22.48792</v>
      </c>
      <c r="D15" s="5">
        <v>30.89</v>
      </c>
      <c r="F15" s="3" t="str">
        <f>MARKUP!$Z$2</f>
        <v>-27.20%</v>
      </c>
    </row>
    <row r="16" ht="15.75" customHeight="1">
      <c r="A16" s="1" t="s">
        <v>95</v>
      </c>
      <c r="B16" s="5" t="str">
        <f t="shared" si="1"/>
        <v>12.8856</v>
      </c>
      <c r="D16" s="5">
        <v>17.7</v>
      </c>
      <c r="F16" s="3" t="str">
        <f>MARKUP!$Z$3</f>
        <v>-27.20%</v>
      </c>
    </row>
    <row r="17" ht="15.75" customHeight="1">
      <c r="A17" s="1" t="s">
        <v>96</v>
      </c>
      <c r="B17" s="5" t="str">
        <f t="shared" si="1"/>
        <v>38.78784</v>
      </c>
      <c r="D17" s="5">
        <v>53.28</v>
      </c>
      <c r="F17" s="3" t="str">
        <f>MARKUP!$Z$3</f>
        <v>-27.20%</v>
      </c>
    </row>
    <row r="18" ht="15.75" customHeight="1">
      <c r="A18" s="1" t="s">
        <v>97</v>
      </c>
      <c r="B18" s="5" t="str">
        <f t="shared" si="1"/>
        <v>22.48792</v>
      </c>
      <c r="D18" s="5">
        <v>30.89</v>
      </c>
      <c r="F18" s="3" t="str">
        <f>MARKUP!$Z$2</f>
        <v>-27.20%</v>
      </c>
    </row>
    <row r="19" ht="15.75" customHeight="1">
      <c r="A19" s="1" t="s">
        <v>98</v>
      </c>
      <c r="B19" s="5" t="str">
        <f t="shared" si="1"/>
        <v>23.90752</v>
      </c>
      <c r="D19" s="5">
        <v>32.84</v>
      </c>
      <c r="F19" s="3" t="str">
        <f>MARKUP!$Z$2</f>
        <v>-27.20%</v>
      </c>
    </row>
    <row r="20" ht="15.75" customHeight="1">
      <c r="A20" s="1" t="s">
        <v>99</v>
      </c>
      <c r="B20" s="5" t="str">
        <f t="shared" si="1"/>
        <v>16.4892</v>
      </c>
      <c r="D20" s="1">
        <v>22.65</v>
      </c>
      <c r="F20" s="3" t="str">
        <f>MARKUP!$Z$2</f>
        <v>-27.20%</v>
      </c>
    </row>
    <row r="21" ht="15.75" customHeight="1">
      <c r="A21" s="1" t="s">
        <v>100</v>
      </c>
      <c r="B21" s="5" t="str">
        <f t="shared" si="1"/>
        <v>22.83008</v>
      </c>
      <c r="D21" s="1">
        <v>31.36</v>
      </c>
      <c r="F21" s="3" t="str">
        <f>MARKUP!$Z$2</f>
        <v>-27.20%</v>
      </c>
    </row>
    <row r="22" ht="15.75" customHeight="1">
      <c r="A22" s="1" t="s">
        <v>101</v>
      </c>
      <c r="B22" s="5" t="str">
        <f t="shared" si="1"/>
        <v>26.52832</v>
      </c>
      <c r="D22" s="1">
        <v>36.44</v>
      </c>
      <c r="F22" s="3" t="str">
        <f>MARKUP!$Z$2</f>
        <v>-27.20%</v>
      </c>
    </row>
    <row r="23" ht="15.75" customHeight="1">
      <c r="A23" s="1" t="s">
        <v>102</v>
      </c>
      <c r="B23" s="5" t="str">
        <f t="shared" si="1"/>
        <v>31.10744</v>
      </c>
      <c r="D23" s="1">
        <v>42.73</v>
      </c>
      <c r="F23" s="3" t="str">
        <f>MARKUP!$Z$2</f>
        <v>-27.20%</v>
      </c>
    </row>
    <row r="24" ht="15.75" customHeight="1">
      <c r="A24" s="1" t="s">
        <v>103</v>
      </c>
      <c r="B24" s="5" t="str">
        <f t="shared" si="1"/>
        <v>13.45344</v>
      </c>
      <c r="D24" s="1">
        <v>18.48</v>
      </c>
      <c r="F24" s="3" t="str">
        <f>MARKUP!$Z$2</f>
        <v>-27.20%</v>
      </c>
    </row>
    <row r="25" ht="15.75" customHeight="1">
      <c r="A25" s="1" t="s">
        <v>104</v>
      </c>
      <c r="B25" s="5" t="str">
        <f t="shared" si="1"/>
        <v>15.88496</v>
      </c>
      <c r="D25" s="1">
        <v>21.82</v>
      </c>
      <c r="F25" s="3" t="str">
        <f>MARKUP!$Z$2</f>
        <v>-27.20%</v>
      </c>
    </row>
    <row r="26" ht="15.75" customHeight="1">
      <c r="A26" s="1" t="s">
        <v>105</v>
      </c>
      <c r="B26" s="5" t="str">
        <f t="shared" si="1"/>
        <v>19.19008</v>
      </c>
      <c r="D26" s="1">
        <v>26.36</v>
      </c>
      <c r="F26" s="3" t="str">
        <f>MARKUP!$Z$2</f>
        <v>-27.20%</v>
      </c>
    </row>
    <row r="27" ht="15.75" customHeight="1">
      <c r="A27" s="1" t="s">
        <v>106</v>
      </c>
      <c r="B27" s="7">
        <v>15.0</v>
      </c>
    </row>
    <row r="28" ht="15.75" customHeight="1">
      <c r="A28" s="1" t="s">
        <v>107</v>
      </c>
      <c r="B28" s="5" t="str">
        <f t="shared" ref="B28:B42" si="2">D28*(1+F28)</f>
        <v>4.53544</v>
      </c>
      <c r="D28" s="1">
        <v>6.23</v>
      </c>
      <c r="F28" s="3" t="str">
        <f>MARKUP!$Z$3</f>
        <v>-27.20%</v>
      </c>
    </row>
    <row r="29" ht="15.75" customHeight="1">
      <c r="A29" s="1" t="s">
        <v>108</v>
      </c>
      <c r="B29" s="5" t="str">
        <f t="shared" si="2"/>
        <v>9.07816</v>
      </c>
      <c r="D29" s="1">
        <v>12.47</v>
      </c>
      <c r="F29" s="3" t="str">
        <f>MARKUP!$Z$3</f>
        <v>-27.20%</v>
      </c>
    </row>
    <row r="30" ht="15.75" customHeight="1">
      <c r="A30" s="1" t="s">
        <v>109</v>
      </c>
      <c r="B30" s="5" t="str">
        <f t="shared" si="2"/>
        <v>9.07816</v>
      </c>
      <c r="D30" s="1">
        <v>12.47</v>
      </c>
      <c r="F30" s="3" t="str">
        <f>MARKUP!$Z$3</f>
        <v>-27.20%</v>
      </c>
    </row>
    <row r="31" ht="15.75" customHeight="1">
      <c r="A31" s="1" t="s">
        <v>110</v>
      </c>
      <c r="B31" s="5" t="str">
        <f t="shared" si="2"/>
        <v>9.07816</v>
      </c>
      <c r="D31" s="1">
        <v>12.47</v>
      </c>
      <c r="F31" s="3" t="str">
        <f>MARKUP!$Z$3</f>
        <v>-27.20%</v>
      </c>
    </row>
    <row r="32" ht="15.75" customHeight="1">
      <c r="A32" s="1" t="s">
        <v>111</v>
      </c>
      <c r="B32" s="5" t="str">
        <f t="shared" si="2"/>
        <v>4.53544</v>
      </c>
      <c r="D32" s="1">
        <v>6.23</v>
      </c>
      <c r="F32" s="3" t="str">
        <f>MARKUP!$Z$3</f>
        <v>-27.20%</v>
      </c>
    </row>
    <row r="33" ht="16.5" customHeight="1">
      <c r="A33" s="1" t="s">
        <v>112</v>
      </c>
      <c r="B33" s="5" t="str">
        <f t="shared" si="2"/>
        <v>75.166</v>
      </c>
      <c r="D33" s="1">
        <v>103.25</v>
      </c>
      <c r="F33" s="3" t="str">
        <f>MARKUP!$Z$3</f>
        <v>-27.20%</v>
      </c>
    </row>
    <row r="34" ht="16.5" customHeight="1">
      <c r="A34" s="1" t="s">
        <v>113</v>
      </c>
      <c r="B34" s="5" t="str">
        <f t="shared" si="2"/>
        <v>63.52528</v>
      </c>
      <c r="D34" s="1">
        <v>87.26</v>
      </c>
      <c r="F34" s="3" t="str">
        <f>MARKUP!$Z$3</f>
        <v>-27.20%</v>
      </c>
    </row>
    <row r="35" ht="16.5" customHeight="1">
      <c r="A35" s="1" t="s">
        <v>114</v>
      </c>
      <c r="B35" s="5" t="str">
        <f t="shared" si="2"/>
        <v>8.4084</v>
      </c>
      <c r="D35" s="1">
        <v>11.55</v>
      </c>
      <c r="F35" s="3" t="str">
        <f>MARKUP!$Z$3</f>
        <v>-27.20%</v>
      </c>
    </row>
    <row r="36" ht="15.75" customHeight="1">
      <c r="A36" s="1" t="s">
        <v>115</v>
      </c>
      <c r="B36" s="5" t="str">
        <f t="shared" si="2"/>
        <v>15.82672</v>
      </c>
      <c r="D36" s="1">
        <v>21.74</v>
      </c>
      <c r="F36" s="3" t="str">
        <f>MARKUP!$Z$3</f>
        <v>-27.20%</v>
      </c>
    </row>
    <row r="37" ht="15.75" customHeight="1">
      <c r="A37" s="1" t="s">
        <v>116</v>
      </c>
      <c r="B37" s="5" t="str">
        <f t="shared" si="2"/>
        <v>15.82672</v>
      </c>
      <c r="D37" s="1">
        <v>21.74</v>
      </c>
      <c r="F37" s="3" t="str">
        <f>MARKUP!$Z$3</f>
        <v>-27.20%</v>
      </c>
    </row>
    <row r="38" ht="15.75" customHeight="1">
      <c r="A38" s="1" t="s">
        <v>117</v>
      </c>
      <c r="B38" s="5" t="str">
        <f t="shared" si="2"/>
        <v>15.82672</v>
      </c>
      <c r="D38" s="1">
        <v>21.74</v>
      </c>
      <c r="F38" s="3" t="str">
        <f>MARKUP!$Z$3</f>
        <v>-27.20%</v>
      </c>
    </row>
    <row r="39" ht="15.75" customHeight="1">
      <c r="A39" s="1" t="s">
        <v>118</v>
      </c>
      <c r="B39" s="5" t="str">
        <f t="shared" si="2"/>
        <v>8.4084</v>
      </c>
      <c r="D39" s="1">
        <v>11.55</v>
      </c>
      <c r="F39" s="3" t="str">
        <f>MARKUP!$Z$3</f>
        <v>-27.20%</v>
      </c>
    </row>
    <row r="40" ht="15.75" customHeight="1">
      <c r="A40" s="1" t="s">
        <v>119</v>
      </c>
      <c r="B40" s="5" t="str">
        <f t="shared" si="2"/>
        <v>62.14936</v>
      </c>
      <c r="D40" s="1">
        <v>85.37</v>
      </c>
      <c r="F40" s="3" t="str">
        <f>MARKUP!$Z$3</f>
        <v>-27.20%</v>
      </c>
    </row>
    <row r="41" ht="15.75" customHeight="1">
      <c r="A41" s="1" t="s">
        <v>120</v>
      </c>
      <c r="B41" s="5" t="str">
        <f t="shared" si="2"/>
        <v>62.14936</v>
      </c>
      <c r="D41" s="1">
        <v>85.37</v>
      </c>
      <c r="F41" s="3" t="str">
        <f>MARKUP!$Z$3</f>
        <v>-27.20%</v>
      </c>
    </row>
    <row r="42" ht="15.75" customHeight="1">
      <c r="A42" s="1" t="s">
        <v>121</v>
      </c>
      <c r="B42" s="5" t="str">
        <f t="shared" si="2"/>
        <v>18.2</v>
      </c>
      <c r="D42" s="1">
        <v>25.0</v>
      </c>
      <c r="F42" s="3" t="str">
        <f>MARKUP!$Z$2</f>
        <v>-27.20%</v>
      </c>
    </row>
    <row r="43" ht="15.75" customHeight="1">
      <c r="A43" s="1" t="s">
        <v>122</v>
      </c>
      <c r="B43" s="4">
        <v>200.0</v>
      </c>
    </row>
    <row r="44" ht="15.75" customHeight="1">
      <c r="A44" s="1" t="s">
        <v>123</v>
      </c>
      <c r="B44" s="4">
        <v>0.0</v>
      </c>
    </row>
    <row r="45" ht="15.75" customHeight="1">
      <c r="A45" s="1" t="s">
        <v>124</v>
      </c>
      <c r="B45" s="1">
        <v>30.0</v>
      </c>
    </row>
    <row r="46" ht="15.75" customHeight="1">
      <c r="A46" s="1" t="s">
        <v>125</v>
      </c>
      <c r="B46" s="1">
        <v>45.0</v>
      </c>
    </row>
    <row r="47" ht="15.75" customHeight="1">
      <c r="A47" s="1" t="s">
        <v>126</v>
      </c>
      <c r="B47" s="4">
        <v>6.0</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7.71"/>
    <col customWidth="1" min="2" max="11" width="12.57"/>
  </cols>
  <sheetData>
    <row r="1" ht="15.75" customHeight="1">
      <c r="A1" s="1" t="s">
        <v>15</v>
      </c>
      <c r="B1" s="1" t="s">
        <v>16</v>
      </c>
    </row>
    <row r="2" ht="15.75" customHeight="1">
      <c r="A2" s="1" t="s">
        <v>127</v>
      </c>
      <c r="B2" s="1">
        <v>49.0</v>
      </c>
    </row>
    <row r="3" ht="15.75" customHeight="1">
      <c r="A3" s="1" t="s">
        <v>128</v>
      </c>
      <c r="B3" s="1">
        <v>20.0</v>
      </c>
    </row>
    <row r="4" ht="15.75" customHeight="1">
      <c r="A4" s="1" t="s">
        <v>129</v>
      </c>
      <c r="B4" s="1">
        <v>49.0</v>
      </c>
    </row>
    <row r="5" ht="15.75" customHeight="1">
      <c r="A5" s="1" t="s">
        <v>130</v>
      </c>
      <c r="B5" s="1">
        <v>20.0</v>
      </c>
    </row>
    <row r="6" ht="15.75" customHeight="1">
      <c r="A6" s="1" t="s">
        <v>131</v>
      </c>
      <c r="B6" s="1">
        <v>56.0</v>
      </c>
    </row>
    <row r="7" ht="15.75" customHeight="1">
      <c r="A7" s="1" t="s">
        <v>132</v>
      </c>
      <c r="B7" s="1">
        <v>20.0</v>
      </c>
    </row>
    <row r="8" ht="15.75" customHeight="1">
      <c r="A8" s="1" t="s">
        <v>133</v>
      </c>
      <c r="B8" s="1">
        <v>56.0</v>
      </c>
    </row>
    <row r="9" ht="15.75" customHeight="1">
      <c r="A9" s="1" t="s">
        <v>134</v>
      </c>
      <c r="B9" s="1">
        <v>20.0</v>
      </c>
    </row>
    <row r="10" ht="15.75" customHeight="1">
      <c r="A10" s="1" t="s">
        <v>135</v>
      </c>
      <c r="B10" s="1">
        <v>82.0</v>
      </c>
    </row>
    <row r="11" ht="15.75" customHeight="1">
      <c r="A11" s="1" t="s">
        <v>136</v>
      </c>
      <c r="B11" s="1">
        <v>20.0</v>
      </c>
    </row>
    <row r="12" ht="15.75" customHeight="1">
      <c r="A12" s="1" t="s">
        <v>137</v>
      </c>
      <c r="B12" s="1">
        <v>82.0</v>
      </c>
    </row>
    <row r="13" ht="15.75" customHeight="1">
      <c r="A13" s="1" t="s">
        <v>138</v>
      </c>
      <c r="B13" s="1">
        <v>20.0</v>
      </c>
    </row>
    <row r="14" ht="15.75" customHeight="1">
      <c r="A14" s="1" t="s">
        <v>139</v>
      </c>
      <c r="B14" s="1">
        <v>92.0</v>
      </c>
    </row>
    <row r="15" ht="15.75" customHeight="1">
      <c r="A15" s="1" t="s">
        <v>140</v>
      </c>
      <c r="B15" s="1">
        <v>20.0</v>
      </c>
    </row>
    <row r="16" ht="15.75" customHeight="1">
      <c r="A16" s="1" t="s">
        <v>141</v>
      </c>
      <c r="B16" s="1">
        <v>92.0</v>
      </c>
    </row>
    <row r="17" ht="15.75" customHeight="1">
      <c r="A17" s="1" t="s">
        <v>142</v>
      </c>
      <c r="B17" s="1">
        <v>20.0</v>
      </c>
    </row>
    <row r="18" ht="15.75" customHeight="1">
      <c r="A18" s="1" t="s">
        <v>143</v>
      </c>
      <c r="B18" s="1">
        <v>70.0</v>
      </c>
    </row>
    <row r="19" ht="15.75" customHeight="1">
      <c r="A19" s="1" t="s">
        <v>144</v>
      </c>
      <c r="B19" s="1">
        <v>20.0</v>
      </c>
    </row>
    <row r="20" ht="15.75" customHeight="1">
      <c r="A20" s="1" t="s">
        <v>145</v>
      </c>
      <c r="B20" s="1">
        <v>70.0</v>
      </c>
    </row>
    <row r="21" ht="15.75" customHeight="1">
      <c r="A21" s="1" t="s">
        <v>146</v>
      </c>
      <c r="B21" s="1">
        <v>30.0</v>
      </c>
    </row>
    <row r="22" ht="15.75" customHeight="1">
      <c r="A22" s="1" t="s">
        <v>147</v>
      </c>
      <c r="B22" s="1">
        <v>70.0</v>
      </c>
    </row>
    <row r="23" ht="15.75" customHeight="1">
      <c r="A23" s="1" t="s">
        <v>148</v>
      </c>
      <c r="B23" s="1">
        <v>30.0</v>
      </c>
    </row>
    <row r="24" ht="15.75" customHeight="1">
      <c r="A24" s="1" t="s">
        <v>149</v>
      </c>
      <c r="B24" s="1">
        <v>70.0</v>
      </c>
    </row>
    <row r="25" ht="15.75" customHeight="1">
      <c r="A25" s="1" t="s">
        <v>150</v>
      </c>
      <c r="B25" s="1">
        <v>30.0</v>
      </c>
    </row>
    <row r="26" ht="15.75" customHeight="1">
      <c r="A26" s="1" t="s">
        <v>151</v>
      </c>
      <c r="B26" s="1">
        <v>70.0</v>
      </c>
    </row>
    <row r="27" ht="15.75" customHeight="1">
      <c r="A27" s="1" t="s">
        <v>152</v>
      </c>
      <c r="B27" s="1">
        <v>30.0</v>
      </c>
    </row>
    <row r="28" ht="15.75" customHeight="1">
      <c r="A28" s="1" t="s">
        <v>153</v>
      </c>
      <c r="B28" s="1">
        <v>50.0</v>
      </c>
    </row>
    <row r="29" ht="15.75" customHeight="1">
      <c r="A29" s="1" t="s">
        <v>154</v>
      </c>
      <c r="B29" s="1">
        <v>30.0</v>
      </c>
    </row>
    <row r="30" ht="15.75" customHeight="1">
      <c r="A30" s="1" t="s">
        <v>155</v>
      </c>
      <c r="B30" s="1">
        <v>50.0</v>
      </c>
    </row>
    <row r="31" ht="15.75" customHeight="1">
      <c r="A31" s="1" t="s">
        <v>156</v>
      </c>
      <c r="B31" s="1">
        <v>30.0</v>
      </c>
    </row>
    <row r="32" ht="15.75" customHeight="1">
      <c r="A32" s="1" t="s">
        <v>157</v>
      </c>
      <c r="B32" s="1">
        <v>70.0</v>
      </c>
    </row>
    <row r="33" ht="15.75" customHeight="1">
      <c r="A33" s="1" t="s">
        <v>158</v>
      </c>
      <c r="B33" s="1">
        <v>30.0</v>
      </c>
    </row>
    <row r="34" ht="15.75" customHeight="1">
      <c r="A34" s="1" t="s">
        <v>159</v>
      </c>
      <c r="B34" s="1">
        <v>70.0</v>
      </c>
    </row>
    <row r="35" ht="15.75" customHeight="1">
      <c r="A35" s="1" t="s">
        <v>160</v>
      </c>
      <c r="B35" s="1">
        <v>30.0</v>
      </c>
    </row>
    <row r="36" ht="15.75" customHeight="1">
      <c r="A36" s="1" t="s">
        <v>161</v>
      </c>
      <c r="B36" s="1">
        <v>85.0</v>
      </c>
    </row>
    <row r="37" ht="15.75" customHeight="1">
      <c r="A37" s="1" t="s">
        <v>162</v>
      </c>
      <c r="B37" s="1">
        <v>30.0</v>
      </c>
    </row>
    <row r="38" ht="15.75" customHeight="1">
      <c r="A38" s="1" t="s">
        <v>163</v>
      </c>
      <c r="B38" s="1">
        <v>0.0</v>
      </c>
    </row>
    <row r="39" ht="15.75" customHeight="1">
      <c r="A39" s="1" t="s">
        <v>164</v>
      </c>
      <c r="B39" s="1">
        <v>0.0</v>
      </c>
    </row>
    <row r="40" ht="15.75" customHeight="1">
      <c r="A40" s="1" t="s">
        <v>165</v>
      </c>
      <c r="B40" s="1">
        <v>20.0</v>
      </c>
    </row>
    <row r="41" ht="15.75" customHeight="1">
      <c r="A41" s="1" t="s">
        <v>166</v>
      </c>
      <c r="B41" s="1">
        <v>30.0</v>
      </c>
    </row>
    <row r="42" ht="15.75" customHeight="1">
      <c r="A42" s="1" t="s">
        <v>167</v>
      </c>
      <c r="B42" s="1">
        <v>20.0</v>
      </c>
    </row>
    <row r="43" ht="15.75" customHeight="1">
      <c r="A43" s="1" t="s">
        <v>168</v>
      </c>
      <c r="B43" s="1">
        <v>30.0</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9.14"/>
    <col customWidth="1" min="2" max="11" width="12.57"/>
  </cols>
  <sheetData>
    <row r="1" ht="15.75" customHeight="1">
      <c r="A1" s="1" t="s">
        <v>15</v>
      </c>
      <c r="B1" s="1" t="s">
        <v>16</v>
      </c>
    </row>
    <row r="2" ht="15.75" customHeight="1">
      <c r="A2" s="1" t="s">
        <v>169</v>
      </c>
      <c r="B2" s="5">
        <v>6.0</v>
      </c>
    </row>
    <row r="3" ht="15.75" customHeight="1">
      <c r="A3" s="1" t="s">
        <v>170</v>
      </c>
      <c r="B3" s="5">
        <v>4.0</v>
      </c>
    </row>
    <row r="4" ht="15.75" customHeight="1">
      <c r="A4" s="1" t="s">
        <v>171</v>
      </c>
      <c r="B4" s="5">
        <v>8.75</v>
      </c>
    </row>
    <row r="5" ht="15.75" customHeight="1">
      <c r="A5" s="1" t="s">
        <v>172</v>
      </c>
      <c r="B5" s="5">
        <v>4.75</v>
      </c>
    </row>
    <row r="6" ht="15.75" customHeight="1">
      <c r="A6" s="1" t="s">
        <v>173</v>
      </c>
      <c r="B6" s="5">
        <v>5.5</v>
      </c>
    </row>
    <row r="7" ht="15.75" customHeight="1">
      <c r="A7" s="1" t="s">
        <v>174</v>
      </c>
      <c r="B7" s="5">
        <v>1.0</v>
      </c>
    </row>
    <row r="8" ht="15.75" customHeight="1">
      <c r="A8" s="1" t="s">
        <v>175</v>
      </c>
      <c r="B8" s="5">
        <v>2.5</v>
      </c>
    </row>
    <row r="9" ht="15.75" customHeight="1">
      <c r="A9" s="1" t="s">
        <v>176</v>
      </c>
      <c r="B9" s="1">
        <v>20.0</v>
      </c>
    </row>
    <row r="10" ht="15.75" customHeight="1">
      <c r="A10" s="1" t="s">
        <v>177</v>
      </c>
      <c r="B10" s="1">
        <v>25.0</v>
      </c>
    </row>
    <row r="11" ht="15.75" customHeight="1">
      <c r="A11" s="1" t="s">
        <v>178</v>
      </c>
      <c r="B11" s="1">
        <v>30.0</v>
      </c>
    </row>
    <row r="12" ht="15.75" customHeight="1">
      <c r="A12" s="1" t="s">
        <v>179</v>
      </c>
      <c r="B12" s="1">
        <v>35.0</v>
      </c>
    </row>
    <row r="13" ht="15.75" customHeight="1">
      <c r="A13" s="1" t="s">
        <v>180</v>
      </c>
      <c r="B13" s="1">
        <v>40.0</v>
      </c>
    </row>
    <row r="14" ht="15.75" customHeight="1">
      <c r="A14" s="1"/>
      <c r="B14" s="5"/>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0.57"/>
    <col customWidth="1" min="2" max="11" width="12.57"/>
  </cols>
  <sheetData>
    <row r="1" ht="15.75" customHeight="1">
      <c r="A1" s="1" t="s">
        <v>15</v>
      </c>
      <c r="B1" s="1" t="s">
        <v>16</v>
      </c>
    </row>
    <row r="2" ht="15.75" customHeight="1">
      <c r="A2" s="1" t="s">
        <v>181</v>
      </c>
      <c r="B2" s="1">
        <v>200.0</v>
      </c>
    </row>
    <row r="3" ht="15.75" customHeight="1">
      <c r="A3" s="1" t="s">
        <v>182</v>
      </c>
      <c r="B3" s="1">
        <v>400.0</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46.14"/>
    <col customWidth="1" min="2" max="2" width="28.0"/>
    <col customWidth="1" min="3" max="11" width="12.57"/>
  </cols>
  <sheetData>
    <row r="1" ht="15.75" customHeight="1">
      <c r="A1" s="1" t="s">
        <v>15</v>
      </c>
      <c r="B1" s="8" t="s">
        <v>16</v>
      </c>
      <c r="D1" s="1"/>
      <c r="E1" s="1" t="s">
        <v>17</v>
      </c>
    </row>
    <row r="2" ht="15.75" customHeight="1">
      <c r="A2" s="1" t="s">
        <v>183</v>
      </c>
      <c r="B2" s="8" t="str">
        <f t="array" ref="B2:B495">E2:E495*(1+MARKUP!$Z$10)</f>
        <v>664.27</v>
      </c>
      <c r="D2" s="1"/>
      <c r="E2" s="1">
        <v>776.9230769230769</v>
      </c>
    </row>
    <row r="3" ht="15.75" customHeight="1">
      <c r="A3" s="1" t="s">
        <v>184</v>
      </c>
      <c r="B3" s="8">
        <v>689.208923076923</v>
      </c>
      <c r="D3" s="1"/>
      <c r="E3" s="1">
        <v>806.0923076923077</v>
      </c>
    </row>
    <row r="4" ht="15.75" customHeight="1">
      <c r="A4" s="1" t="s">
        <v>185</v>
      </c>
      <c r="B4" s="8">
        <v>585.7407692307692</v>
      </c>
      <c r="D4" s="1"/>
      <c r="E4" s="1">
        <v>685.0769230769231</v>
      </c>
    </row>
    <row r="5" ht="15.75" customHeight="1">
      <c r="A5" s="1" t="s">
        <v>186</v>
      </c>
      <c r="B5" s="8">
        <v>533.0727692307692</v>
      </c>
      <c r="D5" s="1"/>
      <c r="E5" s="1">
        <v>623.4769230769231</v>
      </c>
    </row>
    <row r="6" ht="15.75" customHeight="1">
      <c r="A6" s="1" t="s">
        <v>187</v>
      </c>
      <c r="B6" s="8">
        <v>606.0634615384614</v>
      </c>
      <c r="D6" s="1"/>
      <c r="E6" s="1">
        <v>708.8461538461538</v>
      </c>
    </row>
    <row r="7" ht="15.75" customHeight="1">
      <c r="A7" s="1" t="s">
        <v>188</v>
      </c>
      <c r="B7" s="8">
        <v>533.0727692307692</v>
      </c>
      <c r="D7" s="1"/>
      <c r="E7" s="1">
        <v>623.4769230769231</v>
      </c>
    </row>
    <row r="8" ht="15.75" customHeight="1">
      <c r="A8" s="1" t="s">
        <v>189</v>
      </c>
      <c r="B8" s="8">
        <v>532.1519999999999</v>
      </c>
      <c r="D8" s="1"/>
      <c r="E8" s="1">
        <v>622.4</v>
      </c>
    </row>
    <row r="9" ht="15.75" customHeight="1">
      <c r="A9" s="1" t="s">
        <v>190</v>
      </c>
      <c r="B9" s="8">
        <v>533.0727692307692</v>
      </c>
      <c r="D9" s="1"/>
      <c r="E9" s="1">
        <v>623.4769230769231</v>
      </c>
    </row>
    <row r="10" ht="15.75" customHeight="1">
      <c r="A10" s="1" t="s">
        <v>191</v>
      </c>
      <c r="B10" s="8">
        <v>533.0727692307692</v>
      </c>
      <c r="D10" s="1"/>
      <c r="E10" s="1">
        <v>623.4769230769231</v>
      </c>
    </row>
    <row r="11" ht="15.75" customHeight="1">
      <c r="A11" s="1" t="s">
        <v>192</v>
      </c>
      <c r="B11" s="8">
        <v>631.9370769230768</v>
      </c>
      <c r="D11" s="1"/>
      <c r="E11" s="1">
        <v>739.1076923076923</v>
      </c>
    </row>
    <row r="12" ht="15.75" customHeight="1">
      <c r="A12" s="1" t="s">
        <v>193</v>
      </c>
      <c r="B12" s="8">
        <v>533.0727692307692</v>
      </c>
      <c r="D12" s="1"/>
      <c r="E12" s="1">
        <v>623.4769230769231</v>
      </c>
    </row>
    <row r="13" ht="15.75" customHeight="1">
      <c r="A13" s="1" t="s">
        <v>194</v>
      </c>
      <c r="B13" s="8">
        <v>658.7314615384614</v>
      </c>
      <c r="D13" s="1"/>
      <c r="E13" s="1">
        <v>770.4461538461538</v>
      </c>
    </row>
    <row r="14" ht="15.75" customHeight="1">
      <c r="A14" s="1" t="s">
        <v>195</v>
      </c>
      <c r="B14" s="8">
        <v>606.0634615384614</v>
      </c>
      <c r="D14" s="1"/>
      <c r="E14" s="1">
        <v>708.8461538461538</v>
      </c>
    </row>
    <row r="15" ht="15.75" customHeight="1">
      <c r="A15" s="1" t="s">
        <v>196</v>
      </c>
      <c r="B15" s="8">
        <v>721.5542307692306</v>
      </c>
      <c r="D15" s="1"/>
      <c r="E15" s="1">
        <v>843.9230769230768</v>
      </c>
    </row>
    <row r="16" ht="15.75" customHeight="1">
      <c r="A16" s="1" t="s">
        <v>197</v>
      </c>
      <c r="B16" s="8">
        <v>646.708846153846</v>
      </c>
      <c r="D16" s="1"/>
      <c r="E16" s="1">
        <v>756.3846153846154</v>
      </c>
    </row>
    <row r="17" ht="15.75" customHeight="1">
      <c r="A17" s="1" t="s">
        <v>198</v>
      </c>
      <c r="B17" s="8">
        <v>601.4464615384614</v>
      </c>
      <c r="D17" s="1"/>
      <c r="E17" s="1">
        <v>703.4461538461538</v>
      </c>
    </row>
    <row r="18" ht="15.75" customHeight="1">
      <c r="A18" s="1" t="s">
        <v>199</v>
      </c>
      <c r="B18" s="8">
        <v>607.9181538461538</v>
      </c>
      <c r="D18" s="1"/>
      <c r="E18" s="1">
        <v>711.0153846153846</v>
      </c>
    </row>
    <row r="19" ht="15.75" customHeight="1">
      <c r="A19" s="1" t="s">
        <v>200</v>
      </c>
      <c r="B19" s="8">
        <v>607.9181538461538</v>
      </c>
      <c r="D19" s="1"/>
      <c r="E19" s="1">
        <v>711.0153846153846</v>
      </c>
    </row>
    <row r="20" ht="15.75" customHeight="1">
      <c r="A20" s="1" t="s">
        <v>201</v>
      </c>
      <c r="B20" s="8">
        <v>734.4844615384615</v>
      </c>
      <c r="D20" s="1"/>
      <c r="E20" s="1">
        <v>859.0461538461539</v>
      </c>
    </row>
    <row r="21" ht="15.75" customHeight="1">
      <c r="A21" s="1" t="s">
        <v>202</v>
      </c>
      <c r="B21" s="8">
        <v>586.6615384615383</v>
      </c>
      <c r="D21" s="1"/>
      <c r="E21" s="1">
        <v>686.1538461538461</v>
      </c>
    </row>
    <row r="22" ht="15.75" customHeight="1">
      <c r="A22" s="1" t="s">
        <v>203</v>
      </c>
      <c r="B22" s="8">
        <v>650.4050769230768</v>
      </c>
      <c r="D22" s="1"/>
      <c r="E22" s="1">
        <v>760.7076923076922</v>
      </c>
    </row>
    <row r="23" ht="15.75" customHeight="1">
      <c r="A23" s="1" t="s">
        <v>204</v>
      </c>
      <c r="B23" s="8">
        <v>606.9842307692306</v>
      </c>
      <c r="D23" s="1"/>
      <c r="E23" s="1">
        <v>709.9230769230769</v>
      </c>
    </row>
    <row r="24" ht="15.75" customHeight="1">
      <c r="A24" s="1" t="s">
        <v>205</v>
      </c>
      <c r="B24" s="8">
        <v>754.8071538461538</v>
      </c>
      <c r="D24" s="1"/>
      <c r="E24" s="1">
        <v>882.8153846153847</v>
      </c>
    </row>
    <row r="25" ht="15.75" customHeight="1">
      <c r="A25" s="1" t="s">
        <v>206</v>
      </c>
      <c r="B25" s="8">
        <v>55.627615384615375</v>
      </c>
      <c r="D25" s="1"/>
      <c r="E25" s="1">
        <v>65.06153846153846</v>
      </c>
    </row>
    <row r="26" ht="15.75" customHeight="1">
      <c r="A26" s="1" t="s">
        <v>207</v>
      </c>
      <c r="B26" s="8">
        <v>55.627615384615375</v>
      </c>
      <c r="D26" s="1"/>
      <c r="E26" s="1">
        <v>65.06153846153846</v>
      </c>
    </row>
    <row r="27" ht="15.75" customHeight="1">
      <c r="A27" s="1" t="s">
        <v>208</v>
      </c>
      <c r="B27" s="8">
        <v>34.712999999999994</v>
      </c>
      <c r="D27" s="1"/>
      <c r="E27" s="1">
        <v>40.6</v>
      </c>
    </row>
    <row r="28" ht="15.75" customHeight="1">
      <c r="A28" s="1" t="s">
        <v>209</v>
      </c>
      <c r="B28" s="8">
        <v>48.65607692307692</v>
      </c>
      <c r="D28" s="1"/>
      <c r="E28" s="1">
        <v>56.90769230769231</v>
      </c>
    </row>
    <row r="29" ht="15.75" customHeight="1">
      <c r="A29" s="1" t="s">
        <v>210</v>
      </c>
      <c r="B29" s="8">
        <v>47.99838461538461</v>
      </c>
      <c r="D29" s="1"/>
      <c r="E29" s="1">
        <v>56.13846153846154</v>
      </c>
    </row>
    <row r="30" ht="15.75" customHeight="1">
      <c r="A30" s="1" t="s">
        <v>211</v>
      </c>
      <c r="B30" s="8">
        <v>63.44099999999998</v>
      </c>
      <c r="D30" s="1"/>
      <c r="E30" s="1">
        <v>74.19999999999999</v>
      </c>
    </row>
    <row r="31" ht="15.75" customHeight="1">
      <c r="A31" s="1" t="s">
        <v>212</v>
      </c>
      <c r="B31" s="8">
        <v>32.33215384615384</v>
      </c>
      <c r="D31" s="1"/>
      <c r="E31" s="1">
        <v>37.81538461538461</v>
      </c>
    </row>
    <row r="32" ht="15.75" customHeight="1">
      <c r="A32" s="1" t="s">
        <v>213</v>
      </c>
      <c r="B32" s="8">
        <v>9.628615384615383</v>
      </c>
      <c r="C32" s="1" t="s">
        <v>214</v>
      </c>
      <c r="D32" s="1"/>
      <c r="E32" s="1">
        <v>11.261538461538462</v>
      </c>
    </row>
    <row r="33" ht="15.75" customHeight="1">
      <c r="A33" s="1" t="s">
        <v>215</v>
      </c>
      <c r="B33" s="8">
        <v>15.41630769230769</v>
      </c>
      <c r="C33" s="1" t="s">
        <v>214</v>
      </c>
      <c r="D33" s="1"/>
      <c r="E33" s="1">
        <v>18.03076923076923</v>
      </c>
    </row>
    <row r="34" ht="15.75" customHeight="1">
      <c r="A34" s="1" t="s">
        <v>216</v>
      </c>
      <c r="B34" s="8">
        <v>17.586692307692303</v>
      </c>
      <c r="C34" s="1" t="s">
        <v>214</v>
      </c>
      <c r="D34" s="1"/>
      <c r="E34" s="1">
        <v>20.569230769230767</v>
      </c>
    </row>
    <row r="35" ht="15.75" customHeight="1">
      <c r="A35" s="1" t="s">
        <v>217</v>
      </c>
      <c r="B35" s="8">
        <v>32.174307692307686</v>
      </c>
      <c r="D35" s="1"/>
      <c r="E35" s="1">
        <v>37.63076923076923</v>
      </c>
    </row>
    <row r="36" ht="15.75" customHeight="1">
      <c r="A36" s="1" t="s">
        <v>218</v>
      </c>
      <c r="B36" s="8">
        <v>27.68884615384615</v>
      </c>
      <c r="D36" s="1"/>
      <c r="E36" s="1">
        <v>32.38461538461539</v>
      </c>
    </row>
    <row r="37" ht="15.75" customHeight="1">
      <c r="A37" s="1" t="s">
        <v>219</v>
      </c>
      <c r="B37" s="8">
        <v>5.748230769230768</v>
      </c>
      <c r="C37" s="1" t="s">
        <v>214</v>
      </c>
      <c r="D37" s="1"/>
      <c r="E37" s="1">
        <v>6.723076923076923</v>
      </c>
    </row>
    <row r="38" ht="15.75" customHeight="1">
      <c r="A38" s="1" t="s">
        <v>220</v>
      </c>
      <c r="B38" s="8">
        <v>14.153538461538458</v>
      </c>
      <c r="C38" s="1" t="s">
        <v>214</v>
      </c>
      <c r="D38" s="1"/>
      <c r="E38" s="1">
        <v>16.553846153846152</v>
      </c>
    </row>
    <row r="39" ht="15.75" customHeight="1">
      <c r="A39" s="1" t="s">
        <v>221</v>
      </c>
      <c r="B39" s="8">
        <v>16.258153846153842</v>
      </c>
      <c r="C39" s="1" t="s">
        <v>214</v>
      </c>
      <c r="D39" s="1"/>
      <c r="E39" s="1">
        <v>19.015384615384615</v>
      </c>
    </row>
    <row r="40" ht="15.75" customHeight="1">
      <c r="A40" s="1" t="s">
        <v>222</v>
      </c>
      <c r="B40" s="8">
        <v>21.29607692307692</v>
      </c>
      <c r="D40" s="1"/>
      <c r="E40" s="1">
        <v>24.907692307692308</v>
      </c>
    </row>
    <row r="41" ht="15.75" customHeight="1">
      <c r="A41" s="1" t="s">
        <v>223</v>
      </c>
      <c r="B41" s="8">
        <v>10.641461538461536</v>
      </c>
      <c r="D41" s="1"/>
      <c r="E41" s="1">
        <v>12.446153846153846</v>
      </c>
    </row>
    <row r="42" ht="15.75" customHeight="1">
      <c r="A42" s="1" t="s">
        <v>224</v>
      </c>
      <c r="B42" s="8">
        <v>42.60530769230768</v>
      </c>
      <c r="D42" s="1"/>
      <c r="E42" s="1">
        <v>49.83076923076923</v>
      </c>
    </row>
    <row r="43" ht="15.75" customHeight="1">
      <c r="A43" s="1" t="s">
        <v>225</v>
      </c>
      <c r="B43" s="8">
        <v>34.62092307692307</v>
      </c>
      <c r="D43" s="1"/>
      <c r="E43" s="1">
        <v>40.49230769230769</v>
      </c>
    </row>
    <row r="44" ht="15.75" customHeight="1">
      <c r="A44" s="1" t="s">
        <v>226</v>
      </c>
      <c r="B44" s="8">
        <v>21.29607692307692</v>
      </c>
      <c r="D44" s="1"/>
      <c r="E44" s="1">
        <v>24.907692307692308</v>
      </c>
    </row>
    <row r="45" ht="15.75" customHeight="1">
      <c r="A45" s="1" t="s">
        <v>227</v>
      </c>
      <c r="B45" s="8">
        <v>27.53099999999999</v>
      </c>
      <c r="D45" s="1"/>
      <c r="E45" s="1">
        <v>32.199999999999996</v>
      </c>
    </row>
    <row r="46" ht="15.75" customHeight="1">
      <c r="A46" s="1" t="s">
        <v>228</v>
      </c>
      <c r="B46" s="8">
        <v>12.075230769230767</v>
      </c>
      <c r="D46" s="1"/>
      <c r="E46" s="1">
        <v>14.123076923076923</v>
      </c>
    </row>
    <row r="47" ht="15.75" customHeight="1">
      <c r="A47" s="1" t="s">
        <v>229</v>
      </c>
      <c r="B47" s="8">
        <v>21.743307692307692</v>
      </c>
      <c r="D47" s="1"/>
      <c r="E47" s="1">
        <v>25.430769230769233</v>
      </c>
    </row>
    <row r="48" ht="15.75" customHeight="1">
      <c r="A48" s="1" t="s">
        <v>230</v>
      </c>
      <c r="B48" s="8">
        <v>27.1626923076923</v>
      </c>
      <c r="D48" s="1"/>
      <c r="E48" s="1">
        <v>31.769230769230766</v>
      </c>
    </row>
    <row r="49" ht="15.75" customHeight="1">
      <c r="A49" s="1" t="s">
        <v>231</v>
      </c>
      <c r="B49" s="8">
        <v>27.96507692307692</v>
      </c>
      <c r="D49" s="1"/>
      <c r="E49" s="1">
        <v>32.70769230769231</v>
      </c>
    </row>
    <row r="50" ht="15.75" customHeight="1">
      <c r="A50" s="1" t="s">
        <v>232</v>
      </c>
      <c r="B50" s="8">
        <v>12.33830769230769</v>
      </c>
      <c r="D50" s="1"/>
      <c r="E50" s="1">
        <v>14.430769230769231</v>
      </c>
    </row>
    <row r="51" ht="15.75" customHeight="1">
      <c r="A51" s="1" t="s">
        <v>233</v>
      </c>
      <c r="B51" s="8">
        <v>10.641461538461536</v>
      </c>
      <c r="D51" s="1"/>
      <c r="E51" s="1">
        <v>12.446153846153846</v>
      </c>
    </row>
    <row r="52" ht="15.75" customHeight="1">
      <c r="A52" s="1" t="s">
        <v>234</v>
      </c>
      <c r="B52" s="8">
        <v>14.00884615384615</v>
      </c>
      <c r="D52" s="1"/>
      <c r="E52" s="1">
        <v>16.384615384615383</v>
      </c>
    </row>
    <row r="53" ht="15.75" customHeight="1">
      <c r="A53" s="1" t="s">
        <v>235</v>
      </c>
      <c r="B53" s="8">
        <v>21.29607692307692</v>
      </c>
      <c r="D53" s="1"/>
      <c r="E53" s="1">
        <v>24.907692307692308</v>
      </c>
    </row>
    <row r="54" ht="15.75" customHeight="1">
      <c r="A54" s="1" t="s">
        <v>236</v>
      </c>
      <c r="B54" s="8">
        <v>26.610230769230764</v>
      </c>
      <c r="D54" s="1"/>
      <c r="E54" s="1">
        <v>31.123076923076923</v>
      </c>
    </row>
    <row r="55" ht="15.75" customHeight="1">
      <c r="A55" s="1" t="s">
        <v>237</v>
      </c>
      <c r="B55" s="8">
        <v>30.240692307692303</v>
      </c>
      <c r="D55" s="1"/>
      <c r="E55" s="1">
        <v>35.36923076923077</v>
      </c>
    </row>
    <row r="56" ht="15.75" customHeight="1">
      <c r="A56" s="1" t="s">
        <v>238</v>
      </c>
      <c r="B56" s="8">
        <v>131.01230769230767</v>
      </c>
      <c r="D56" s="1"/>
      <c r="E56" s="1">
        <v>153.23076923076923</v>
      </c>
    </row>
    <row r="57" ht="15.75" customHeight="1">
      <c r="A57" s="1" t="s">
        <v>239</v>
      </c>
      <c r="B57" s="8">
        <v>35.436461538461536</v>
      </c>
      <c r="D57" s="1"/>
      <c r="E57" s="1">
        <v>41.44615384615385</v>
      </c>
    </row>
    <row r="58" ht="15.75" customHeight="1">
      <c r="A58" s="1" t="s">
        <v>240</v>
      </c>
      <c r="B58" s="8">
        <v>273.84992307692306</v>
      </c>
      <c r="D58" s="1"/>
      <c r="E58" s="1">
        <v>320.2923076923077</v>
      </c>
    </row>
    <row r="59" ht="15.75" customHeight="1">
      <c r="A59" s="1" t="s">
        <v>241</v>
      </c>
      <c r="B59" s="8">
        <v>160.8057692307692</v>
      </c>
      <c r="D59" s="1"/>
      <c r="E59" s="1">
        <v>188.07692307692307</v>
      </c>
    </row>
    <row r="60" ht="15.75" customHeight="1">
      <c r="A60" s="1" t="s">
        <v>242</v>
      </c>
      <c r="B60" s="8">
        <v>115.96430769230767</v>
      </c>
      <c r="D60" s="1"/>
      <c r="E60" s="1">
        <v>135.63076923076923</v>
      </c>
    </row>
    <row r="61" ht="15.75" customHeight="1">
      <c r="A61" s="1" t="s">
        <v>243</v>
      </c>
      <c r="B61" s="8">
        <v>181.10215384615384</v>
      </c>
      <c r="D61" s="1"/>
      <c r="E61" s="1">
        <v>211.81538461538463</v>
      </c>
    </row>
    <row r="62" ht="15.75" customHeight="1">
      <c r="A62" s="1" t="s">
        <v>244</v>
      </c>
      <c r="B62" s="8">
        <v>132.4986923076923</v>
      </c>
      <c r="D62" s="1"/>
      <c r="E62" s="1">
        <v>154.96923076923076</v>
      </c>
    </row>
    <row r="63" ht="15.75" customHeight="1">
      <c r="A63" s="1" t="s">
        <v>245</v>
      </c>
      <c r="B63" s="8">
        <v>115.96430769230767</v>
      </c>
      <c r="D63" s="1"/>
      <c r="E63" s="1">
        <v>135.63076923076923</v>
      </c>
    </row>
    <row r="64" ht="15.75" customHeight="1">
      <c r="A64" s="1" t="s">
        <v>246</v>
      </c>
      <c r="B64" s="8">
        <v>146.06030769230767</v>
      </c>
      <c r="D64" s="1"/>
      <c r="E64" s="1">
        <v>170.83076923076922</v>
      </c>
    </row>
    <row r="65" ht="15.75" customHeight="1">
      <c r="A65" s="1" t="s">
        <v>247</v>
      </c>
      <c r="B65" s="8">
        <v>160.09546153846148</v>
      </c>
      <c r="D65" s="1"/>
      <c r="E65" s="1">
        <v>187.24615384615382</v>
      </c>
    </row>
    <row r="66" ht="15.75" customHeight="1">
      <c r="A66" s="1" t="s">
        <v>248</v>
      </c>
      <c r="B66" s="8">
        <v>210.4352307692307</v>
      </c>
      <c r="D66" s="1"/>
      <c r="E66" s="1">
        <v>246.1230769230769</v>
      </c>
    </row>
    <row r="67" ht="15.75" customHeight="1">
      <c r="A67" s="1" t="s">
        <v>249</v>
      </c>
      <c r="B67" s="8">
        <v>110.67646153846151</v>
      </c>
      <c r="D67" s="1"/>
      <c r="E67" s="1">
        <v>129.44615384615383</v>
      </c>
    </row>
    <row r="68" ht="15.75" customHeight="1">
      <c r="A68" s="1" t="s">
        <v>250</v>
      </c>
      <c r="B68" s="8">
        <v>123.7513846153846</v>
      </c>
      <c r="D68" s="1"/>
      <c r="E68" s="1">
        <v>144.73846153846154</v>
      </c>
    </row>
    <row r="69" ht="15.75" customHeight="1">
      <c r="A69" s="1" t="s">
        <v>251</v>
      </c>
      <c r="B69" s="8">
        <v>160.21384615384613</v>
      </c>
      <c r="D69" s="1"/>
      <c r="E69" s="1">
        <v>187.3846153846154</v>
      </c>
    </row>
    <row r="70" ht="15.75" customHeight="1">
      <c r="A70" s="1" t="s">
        <v>252</v>
      </c>
      <c r="B70" s="8">
        <v>132.73546153846152</v>
      </c>
      <c r="D70" s="1"/>
      <c r="E70" s="1">
        <v>155.24615384615385</v>
      </c>
    </row>
    <row r="71" ht="15.75" customHeight="1">
      <c r="A71" s="1" t="s">
        <v>253</v>
      </c>
      <c r="B71" s="8">
        <v>120.25246153846152</v>
      </c>
      <c r="D71" s="1"/>
      <c r="E71" s="1">
        <v>140.64615384615385</v>
      </c>
    </row>
    <row r="72" ht="15.75" customHeight="1">
      <c r="A72" s="1" t="s">
        <v>254</v>
      </c>
      <c r="B72" s="8">
        <v>146.06030769230767</v>
      </c>
      <c r="D72" s="1"/>
      <c r="E72" s="1">
        <v>170.83076923076922</v>
      </c>
    </row>
    <row r="73" ht="15.75" customHeight="1">
      <c r="A73" s="1" t="s">
        <v>255</v>
      </c>
      <c r="B73" s="8">
        <v>174.20953846153844</v>
      </c>
      <c r="D73" s="1"/>
      <c r="E73" s="1">
        <v>203.75384615384615</v>
      </c>
    </row>
    <row r="74" ht="15.75" customHeight="1">
      <c r="A74" s="1" t="s">
        <v>256</v>
      </c>
      <c r="B74" s="8">
        <v>124.08023076923075</v>
      </c>
      <c r="D74" s="1"/>
      <c r="E74" s="1">
        <v>145.12307692307692</v>
      </c>
    </row>
    <row r="75" ht="15.75" customHeight="1">
      <c r="A75" s="1" t="s">
        <v>257</v>
      </c>
      <c r="B75" s="8">
        <v>116.964</v>
      </c>
      <c r="D75" s="1"/>
      <c r="E75" s="1">
        <v>136.8</v>
      </c>
    </row>
    <row r="76" ht="15.75" customHeight="1">
      <c r="A76" s="1" t="s">
        <v>258</v>
      </c>
      <c r="B76" s="8">
        <v>165.46223076923076</v>
      </c>
      <c r="D76" s="1"/>
      <c r="E76" s="1">
        <v>193.52307692307693</v>
      </c>
    </row>
    <row r="77" ht="15.75" customHeight="1">
      <c r="A77" s="1" t="s">
        <v>259</v>
      </c>
      <c r="B77" s="8">
        <v>186.7451538461538</v>
      </c>
      <c r="D77" s="1"/>
      <c r="E77" s="1">
        <v>218.4153846153846</v>
      </c>
    </row>
    <row r="78" ht="15.75" customHeight="1">
      <c r="A78" s="1" t="s">
        <v>260</v>
      </c>
      <c r="B78" s="8">
        <v>320.8223076923076</v>
      </c>
      <c r="D78" s="1"/>
      <c r="E78" s="1">
        <v>375.2307692307692</v>
      </c>
    </row>
    <row r="79" ht="15.75" customHeight="1">
      <c r="A79" s="1" t="s">
        <v>261</v>
      </c>
      <c r="B79" s="8">
        <v>272.1662307692307</v>
      </c>
      <c r="D79" s="1"/>
      <c r="E79" s="1">
        <v>318.3230769230769</v>
      </c>
    </row>
    <row r="80" ht="15.75" customHeight="1">
      <c r="A80" s="1" t="s">
        <v>262</v>
      </c>
      <c r="B80" s="8">
        <v>320.8223076923076</v>
      </c>
      <c r="D80" s="1"/>
      <c r="E80" s="1">
        <v>375.2307692307692</v>
      </c>
    </row>
    <row r="81" ht="15.75" customHeight="1">
      <c r="A81" s="1" t="s">
        <v>263</v>
      </c>
      <c r="B81" s="8">
        <v>153.38699999999997</v>
      </c>
      <c r="D81" s="1"/>
      <c r="E81" s="1">
        <v>179.4</v>
      </c>
    </row>
    <row r="82" ht="15.75" customHeight="1">
      <c r="A82" s="1" t="s">
        <v>264</v>
      </c>
      <c r="B82" s="8">
        <v>169.47415384615383</v>
      </c>
      <c r="D82" s="1"/>
      <c r="E82" s="1">
        <v>198.2153846153846</v>
      </c>
    </row>
    <row r="83" ht="15.75" customHeight="1">
      <c r="A83" s="1" t="s">
        <v>265</v>
      </c>
      <c r="B83" s="8">
        <v>118.84499999999998</v>
      </c>
      <c r="D83" s="1"/>
      <c r="E83" s="1">
        <v>139.0</v>
      </c>
    </row>
    <row r="84" ht="15.75" customHeight="1">
      <c r="A84" s="1" t="s">
        <v>266</v>
      </c>
      <c r="B84" s="8">
        <v>307.1554615384615</v>
      </c>
      <c r="D84" s="1"/>
      <c r="E84" s="1">
        <v>359.24615384615385</v>
      </c>
    </row>
    <row r="85" ht="15.75" customHeight="1">
      <c r="A85" s="1" t="s">
        <v>267</v>
      </c>
      <c r="B85" s="8">
        <v>69.67592307692307</v>
      </c>
      <c r="D85" s="1"/>
      <c r="E85" s="1">
        <v>81.49230769230769</v>
      </c>
    </row>
    <row r="86" ht="15.75" customHeight="1">
      <c r="A86" s="1" t="s">
        <v>268</v>
      </c>
      <c r="B86" s="8">
        <v>120.25246153846152</v>
      </c>
      <c r="D86" s="1"/>
      <c r="E86" s="1">
        <v>140.64615384615385</v>
      </c>
    </row>
    <row r="87" ht="15.75" customHeight="1">
      <c r="A87" s="1" t="s">
        <v>269</v>
      </c>
      <c r="B87" s="8">
        <v>63.23053846153846</v>
      </c>
      <c r="D87" s="1"/>
      <c r="E87" s="1">
        <v>73.95384615384616</v>
      </c>
    </row>
    <row r="88" ht="15.75" customHeight="1">
      <c r="A88" s="1" t="s">
        <v>270</v>
      </c>
      <c r="B88" s="8">
        <v>168.43499999999997</v>
      </c>
      <c r="D88" s="1"/>
      <c r="E88" s="1">
        <v>197.0</v>
      </c>
    </row>
    <row r="89" ht="15.75" customHeight="1">
      <c r="A89" s="1" t="s">
        <v>271</v>
      </c>
      <c r="B89" s="8">
        <v>111.47884615384613</v>
      </c>
      <c r="D89" s="1"/>
      <c r="E89" s="1">
        <v>130.3846153846154</v>
      </c>
    </row>
    <row r="90" ht="15.75" customHeight="1">
      <c r="A90" s="1" t="s">
        <v>272</v>
      </c>
      <c r="B90" s="8">
        <v>143.54792307692304</v>
      </c>
      <c r="D90" s="1"/>
      <c r="E90" s="1">
        <v>167.89230769230767</v>
      </c>
    </row>
    <row r="91" ht="15.75" customHeight="1">
      <c r="A91" s="1" t="s">
        <v>273</v>
      </c>
      <c r="B91" s="8">
        <v>58.74507692307691</v>
      </c>
      <c r="D91" s="1"/>
      <c r="E91" s="1">
        <v>68.7076923076923</v>
      </c>
    </row>
    <row r="92" ht="15.75" customHeight="1">
      <c r="A92" s="1" t="s">
        <v>274</v>
      </c>
      <c r="B92" s="8">
        <v>71.92523076923075</v>
      </c>
      <c r="D92" s="1"/>
      <c r="E92" s="1">
        <v>84.12307692307692</v>
      </c>
    </row>
    <row r="93" ht="15.75" customHeight="1">
      <c r="A93" s="1" t="s">
        <v>275</v>
      </c>
      <c r="B93" s="8">
        <v>142.24569230769228</v>
      </c>
      <c r="D93" s="1"/>
      <c r="E93" s="1">
        <v>166.36923076923077</v>
      </c>
    </row>
    <row r="94" ht="15.75" customHeight="1">
      <c r="A94" s="1" t="s">
        <v>276</v>
      </c>
      <c r="B94" s="8">
        <v>168.6191538461538</v>
      </c>
      <c r="D94" s="1"/>
      <c r="E94" s="1">
        <v>197.2153846153846</v>
      </c>
    </row>
    <row r="95" ht="15.75" customHeight="1">
      <c r="A95" s="1" t="s">
        <v>277</v>
      </c>
      <c r="B95" s="8">
        <v>164.23892307692304</v>
      </c>
      <c r="D95" s="1"/>
      <c r="E95" s="1">
        <v>192.09230769230768</v>
      </c>
    </row>
    <row r="96" ht="15.75" customHeight="1">
      <c r="A96" s="1" t="s">
        <v>278</v>
      </c>
      <c r="B96" s="8">
        <v>177.39276923076923</v>
      </c>
      <c r="D96" s="1"/>
      <c r="E96" s="1">
        <v>207.4769230769231</v>
      </c>
    </row>
    <row r="97" ht="15.75" customHeight="1">
      <c r="A97" s="1" t="s">
        <v>279</v>
      </c>
      <c r="B97" s="8">
        <v>135.3530769230769</v>
      </c>
      <c r="D97" s="1"/>
      <c r="E97" s="1">
        <v>158.30769230769232</v>
      </c>
    </row>
    <row r="98" ht="15.75" customHeight="1">
      <c r="A98" s="1" t="s">
        <v>280</v>
      </c>
      <c r="B98" s="8">
        <v>142.24569230769228</v>
      </c>
      <c r="D98" s="1"/>
      <c r="E98" s="1">
        <v>166.36923076923077</v>
      </c>
    </row>
    <row r="99" ht="15.75" customHeight="1">
      <c r="A99" s="1" t="s">
        <v>281</v>
      </c>
      <c r="B99" s="8">
        <v>280.16376923076916</v>
      </c>
      <c r="D99" s="1"/>
      <c r="E99" s="1">
        <v>327.67692307692306</v>
      </c>
    </row>
    <row r="100" ht="15.75" customHeight="1">
      <c r="A100" s="1" t="s">
        <v>282</v>
      </c>
      <c r="B100" s="8">
        <v>128.5130769230769</v>
      </c>
      <c r="D100" s="1"/>
      <c r="E100" s="1">
        <v>150.30769230769232</v>
      </c>
    </row>
    <row r="101" ht="15.75" customHeight="1">
      <c r="A101" s="1" t="s">
        <v>283</v>
      </c>
      <c r="B101" s="8">
        <v>206.21284615384613</v>
      </c>
      <c r="D101" s="1"/>
      <c r="E101" s="1">
        <v>241.1846153846154</v>
      </c>
    </row>
    <row r="102" ht="15.75" customHeight="1">
      <c r="A102" s="1" t="s">
        <v>284</v>
      </c>
      <c r="B102" s="8">
        <v>149.4408461538461</v>
      </c>
      <c r="D102" s="1"/>
      <c r="E102" s="1">
        <v>174.78461538461536</v>
      </c>
    </row>
    <row r="103" ht="15.75" customHeight="1">
      <c r="A103" s="1" t="s">
        <v>285</v>
      </c>
      <c r="B103" s="8">
        <v>71.92523076923075</v>
      </c>
      <c r="D103" s="1"/>
      <c r="E103" s="1">
        <v>84.12307692307692</v>
      </c>
    </row>
    <row r="104" ht="15.75" customHeight="1">
      <c r="A104" s="1" t="s">
        <v>286</v>
      </c>
      <c r="B104" s="8">
        <v>99.31153846153845</v>
      </c>
      <c r="D104" s="1"/>
      <c r="E104" s="1">
        <v>116.15384615384615</v>
      </c>
    </row>
    <row r="105" ht="15.75" customHeight="1">
      <c r="A105" s="1" t="s">
        <v>287</v>
      </c>
      <c r="B105" s="8">
        <v>206.21284615384613</v>
      </c>
      <c r="D105" s="1"/>
      <c r="E105" s="1">
        <v>241.1846153846154</v>
      </c>
    </row>
    <row r="106" ht="15.75" customHeight="1">
      <c r="A106" s="1" t="s">
        <v>288</v>
      </c>
      <c r="B106" s="8">
        <v>213.36853846153844</v>
      </c>
      <c r="D106" s="1"/>
      <c r="E106" s="1">
        <v>249.55384615384617</v>
      </c>
    </row>
    <row r="107" ht="15.75" customHeight="1">
      <c r="A107" s="1" t="s">
        <v>289</v>
      </c>
      <c r="B107" s="8">
        <v>74.02984615384615</v>
      </c>
      <c r="D107" s="1"/>
      <c r="E107" s="1">
        <v>86.58461538461539</v>
      </c>
    </row>
    <row r="108" ht="15.75" customHeight="1">
      <c r="A108" s="1" t="s">
        <v>290</v>
      </c>
      <c r="B108" s="8">
        <v>99.31153846153845</v>
      </c>
      <c r="D108" s="1"/>
      <c r="E108" s="1">
        <v>116.15384615384615</v>
      </c>
    </row>
    <row r="109" ht="15.75" customHeight="1">
      <c r="A109" s="1" t="s">
        <v>291</v>
      </c>
      <c r="B109" s="8">
        <v>129.94684615384614</v>
      </c>
      <c r="D109" s="1"/>
      <c r="E109" s="1">
        <v>151.98461538461538</v>
      </c>
    </row>
    <row r="110" ht="15.75" customHeight="1">
      <c r="A110" s="1" t="s">
        <v>292</v>
      </c>
      <c r="B110" s="8">
        <v>168.6191538461538</v>
      </c>
      <c r="D110" s="1"/>
      <c r="E110" s="1">
        <v>197.2153846153846</v>
      </c>
    </row>
    <row r="111" ht="15.75" customHeight="1">
      <c r="A111" s="1" t="s">
        <v>293</v>
      </c>
      <c r="B111" s="8">
        <v>169.50046153846154</v>
      </c>
      <c r="D111" s="1"/>
      <c r="E111" s="1">
        <v>198.24615384615387</v>
      </c>
    </row>
    <row r="112" ht="15.75" customHeight="1">
      <c r="A112" s="1" t="s">
        <v>294</v>
      </c>
      <c r="B112" s="8">
        <v>128.1447692307692</v>
      </c>
      <c r="D112" s="1"/>
      <c r="E112" s="1">
        <v>149.87692307692308</v>
      </c>
    </row>
    <row r="113" ht="15.75" customHeight="1">
      <c r="A113" s="1" t="s">
        <v>295</v>
      </c>
      <c r="B113" s="8">
        <v>226.02253846153846</v>
      </c>
      <c r="D113" s="1"/>
      <c r="E113" s="1">
        <v>264.3538461538462</v>
      </c>
    </row>
    <row r="114" ht="15.75" customHeight="1">
      <c r="A114" s="1" t="s">
        <v>296</v>
      </c>
      <c r="B114" s="8">
        <v>74.12192307692307</v>
      </c>
      <c r="D114" s="1"/>
      <c r="E114" s="1">
        <v>86.6923076923077</v>
      </c>
    </row>
    <row r="115" ht="15.75" customHeight="1">
      <c r="A115" s="1" t="s">
        <v>297</v>
      </c>
      <c r="B115" s="8">
        <v>281.78169230769225</v>
      </c>
      <c r="D115" s="1"/>
      <c r="E115" s="1">
        <v>329.5692307692307</v>
      </c>
    </row>
    <row r="116" ht="15.75" customHeight="1">
      <c r="A116" s="1" t="s">
        <v>298</v>
      </c>
      <c r="B116" s="8">
        <v>217.24892307692303</v>
      </c>
      <c r="D116" s="1"/>
      <c r="E116" s="1">
        <v>254.09230769230768</v>
      </c>
    </row>
    <row r="117" ht="15.75" customHeight="1">
      <c r="A117" s="1" t="s">
        <v>299</v>
      </c>
      <c r="B117" s="8">
        <v>281.78169230769225</v>
      </c>
      <c r="D117" s="1"/>
      <c r="E117" s="1">
        <v>329.5692307692307</v>
      </c>
    </row>
    <row r="118" ht="15.75" customHeight="1">
      <c r="A118" s="1" t="s">
        <v>300</v>
      </c>
      <c r="B118" s="8">
        <v>280.5320769230769</v>
      </c>
      <c r="D118" s="1"/>
      <c r="E118" s="1">
        <v>328.10769230769233</v>
      </c>
    </row>
    <row r="119" ht="15.75" customHeight="1">
      <c r="A119" s="1" t="s">
        <v>301</v>
      </c>
      <c r="B119" s="8">
        <v>203.85830769230765</v>
      </c>
      <c r="D119" s="1"/>
      <c r="E119" s="1">
        <v>238.43076923076922</v>
      </c>
    </row>
    <row r="120" ht="15.75" customHeight="1">
      <c r="A120" s="1" t="s">
        <v>302</v>
      </c>
      <c r="B120" s="8">
        <v>326.8993846153846</v>
      </c>
      <c r="D120" s="1"/>
      <c r="E120" s="1">
        <v>382.33846153846156</v>
      </c>
    </row>
    <row r="121" ht="15.75" customHeight="1">
      <c r="A121" s="1" t="s">
        <v>303</v>
      </c>
      <c r="B121" s="8">
        <v>208.58053846153842</v>
      </c>
      <c r="D121" s="1"/>
      <c r="E121" s="1">
        <v>243.95384615384614</v>
      </c>
    </row>
    <row r="122" ht="15.75" customHeight="1">
      <c r="A122" s="1" t="s">
        <v>304</v>
      </c>
      <c r="B122" s="8">
        <v>274.25769230769225</v>
      </c>
      <c r="D122" s="1"/>
      <c r="E122" s="1">
        <v>320.7692307692308</v>
      </c>
    </row>
    <row r="123" ht="15.75" customHeight="1">
      <c r="A123" s="1" t="s">
        <v>305</v>
      </c>
      <c r="B123" s="8">
        <v>46.24892307692306</v>
      </c>
      <c r="D123" s="1"/>
      <c r="E123" s="1">
        <v>54.092307692307685</v>
      </c>
    </row>
    <row r="124" ht="15.75" customHeight="1">
      <c r="A124" s="1" t="s">
        <v>306</v>
      </c>
      <c r="B124" s="8">
        <v>66.12438461538461</v>
      </c>
      <c r="D124" s="1"/>
      <c r="E124" s="1">
        <v>77.33846153846154</v>
      </c>
    </row>
    <row r="125" ht="15.75" customHeight="1">
      <c r="A125" s="1" t="s">
        <v>307</v>
      </c>
      <c r="B125" s="8">
        <v>32.950384615384614</v>
      </c>
      <c r="D125" s="1"/>
      <c r="E125" s="1">
        <v>38.53846153846154</v>
      </c>
    </row>
    <row r="126" ht="15.75" customHeight="1">
      <c r="A126" s="1" t="s">
        <v>308</v>
      </c>
      <c r="B126" s="8">
        <v>61.441615384615375</v>
      </c>
      <c r="D126" s="1"/>
      <c r="E126" s="1">
        <v>71.86153846153846</v>
      </c>
    </row>
    <row r="127" ht="15.75" customHeight="1">
      <c r="A127" s="1" t="s">
        <v>309</v>
      </c>
      <c r="B127" s="8">
        <v>41.23730769230769</v>
      </c>
      <c r="D127" s="1"/>
      <c r="E127" s="1">
        <v>48.23076923076923</v>
      </c>
    </row>
    <row r="128" ht="15.75" customHeight="1">
      <c r="A128" s="1" t="s">
        <v>310</v>
      </c>
      <c r="B128" s="8">
        <v>213.36853846153844</v>
      </c>
      <c r="D128" s="1"/>
      <c r="E128" s="1">
        <v>249.55384615384617</v>
      </c>
    </row>
    <row r="129" ht="15.75" customHeight="1">
      <c r="A129" s="1" t="s">
        <v>311</v>
      </c>
      <c r="B129" s="8">
        <v>60.560307692307674</v>
      </c>
      <c r="D129" s="1"/>
      <c r="E129" s="1">
        <v>70.83076923076922</v>
      </c>
    </row>
    <row r="130" ht="15.75" customHeight="1">
      <c r="A130" s="1" t="s">
        <v>312</v>
      </c>
      <c r="B130" s="8">
        <v>49.86623076923076</v>
      </c>
      <c r="D130" s="1"/>
      <c r="E130" s="1">
        <v>58.32307692307692</v>
      </c>
    </row>
    <row r="131" ht="15.75" customHeight="1">
      <c r="A131" s="1" t="s">
        <v>313</v>
      </c>
      <c r="B131" s="8">
        <v>47.81423076923077</v>
      </c>
      <c r="D131" s="1"/>
      <c r="E131" s="1">
        <v>55.92307692307693</v>
      </c>
    </row>
    <row r="132" ht="15.75" customHeight="1">
      <c r="A132" s="1" t="s">
        <v>314</v>
      </c>
      <c r="B132" s="8">
        <v>112.9783846153846</v>
      </c>
      <c r="D132" s="1"/>
      <c r="E132" s="1">
        <v>132.13846153846154</v>
      </c>
    </row>
    <row r="133" ht="15.75" customHeight="1">
      <c r="A133" s="1" t="s">
        <v>315</v>
      </c>
      <c r="B133" s="8">
        <v>249.17330769230765</v>
      </c>
      <c r="D133" s="1"/>
      <c r="E133" s="1">
        <v>291.4307692307692</v>
      </c>
    </row>
    <row r="134" ht="15.75" customHeight="1">
      <c r="A134" s="1" t="s">
        <v>316</v>
      </c>
      <c r="B134" s="8">
        <v>156.42553846153842</v>
      </c>
      <c r="D134" s="1"/>
      <c r="E134" s="1">
        <v>182.95384615384614</v>
      </c>
    </row>
    <row r="135" ht="15.75" customHeight="1">
      <c r="A135" s="1" t="s">
        <v>317</v>
      </c>
      <c r="B135" s="8">
        <v>135.53723076923075</v>
      </c>
      <c r="D135" s="1"/>
      <c r="E135" s="1">
        <v>158.52307692307693</v>
      </c>
    </row>
    <row r="136" ht="15.75" customHeight="1">
      <c r="A136" s="1" t="s">
        <v>318</v>
      </c>
      <c r="B136" s="8">
        <v>156.42553846153842</v>
      </c>
      <c r="D136" s="1"/>
      <c r="E136" s="1">
        <v>182.95384615384614</v>
      </c>
    </row>
    <row r="137" ht="15.75" customHeight="1">
      <c r="A137" s="1" t="s">
        <v>319</v>
      </c>
      <c r="B137" s="8">
        <v>63.151615384615376</v>
      </c>
      <c r="D137" s="1"/>
      <c r="E137" s="1">
        <v>73.86153846153846</v>
      </c>
    </row>
    <row r="138" ht="15.75" customHeight="1">
      <c r="A138" s="1" t="s">
        <v>320</v>
      </c>
      <c r="B138" s="8">
        <v>74.12192307692307</v>
      </c>
      <c r="D138" s="1"/>
      <c r="E138" s="1">
        <v>86.6923076923077</v>
      </c>
    </row>
    <row r="139" ht="15.75" customHeight="1">
      <c r="A139" s="1" t="s">
        <v>321</v>
      </c>
      <c r="B139" s="8">
        <v>163.10769230769228</v>
      </c>
      <c r="D139" s="1"/>
      <c r="E139" s="1">
        <v>190.76923076923077</v>
      </c>
    </row>
    <row r="140" ht="15.75" customHeight="1">
      <c r="A140" s="1" t="s">
        <v>322</v>
      </c>
      <c r="B140" s="8">
        <v>167.69838461538455</v>
      </c>
      <c r="D140" s="1"/>
      <c r="E140" s="1">
        <v>196.1384615384615</v>
      </c>
    </row>
    <row r="141" ht="15.75" customHeight="1">
      <c r="A141" s="1" t="s">
        <v>323</v>
      </c>
      <c r="B141" s="8">
        <v>204.3844615384615</v>
      </c>
      <c r="D141" s="1"/>
      <c r="E141" s="1">
        <v>239.04615384615383</v>
      </c>
    </row>
    <row r="142" ht="15.75" customHeight="1">
      <c r="A142" s="1" t="s">
        <v>324</v>
      </c>
      <c r="B142" s="8">
        <v>74.27976923076922</v>
      </c>
      <c r="D142" s="1"/>
      <c r="E142" s="1">
        <v>86.87692307692308</v>
      </c>
    </row>
    <row r="143" ht="15.75" customHeight="1">
      <c r="A143" s="1" t="s">
        <v>325</v>
      </c>
      <c r="B143" s="8">
        <v>66.91361538461537</v>
      </c>
      <c r="D143" s="1"/>
      <c r="E143" s="1">
        <v>78.26153846153845</v>
      </c>
    </row>
    <row r="144" ht="15.75" customHeight="1">
      <c r="A144" s="1" t="s">
        <v>326</v>
      </c>
      <c r="B144" s="8">
        <v>124.80369230769229</v>
      </c>
      <c r="D144" s="1"/>
      <c r="E144" s="1">
        <v>145.96923076923076</v>
      </c>
    </row>
    <row r="145" ht="15.75" customHeight="1">
      <c r="A145" s="1" t="s">
        <v>327</v>
      </c>
      <c r="B145" s="8">
        <v>51.24738461538461</v>
      </c>
      <c r="D145" s="1"/>
      <c r="E145" s="1">
        <v>59.93846153846154</v>
      </c>
    </row>
    <row r="146" ht="15.75" customHeight="1">
      <c r="A146" s="1" t="s">
        <v>328</v>
      </c>
      <c r="B146" s="8">
        <v>47.48538461538461</v>
      </c>
      <c r="D146" s="1"/>
      <c r="E146" s="1">
        <v>55.53846153846154</v>
      </c>
    </row>
    <row r="147" ht="15.75" customHeight="1">
      <c r="A147" s="1" t="s">
        <v>329</v>
      </c>
      <c r="B147" s="8">
        <v>83.60584615384613</v>
      </c>
      <c r="D147" s="1"/>
      <c r="E147" s="1">
        <v>97.78461538461538</v>
      </c>
    </row>
    <row r="148" ht="15.75" customHeight="1">
      <c r="A148" s="1" t="s">
        <v>330</v>
      </c>
      <c r="B148" s="8">
        <v>69.67592307692307</v>
      </c>
      <c r="D148" s="1"/>
      <c r="E148" s="1">
        <v>81.49230769230769</v>
      </c>
    </row>
    <row r="149" ht="15.75" customHeight="1">
      <c r="A149" s="1" t="s">
        <v>331</v>
      </c>
      <c r="B149" s="8">
        <v>132.32769230769227</v>
      </c>
      <c r="D149" s="1"/>
      <c r="E149" s="1">
        <v>154.76923076923075</v>
      </c>
    </row>
    <row r="150" ht="15.75" customHeight="1">
      <c r="A150" s="1" t="s">
        <v>332</v>
      </c>
      <c r="B150" s="8">
        <v>82.55353846153845</v>
      </c>
      <c r="D150" s="1"/>
      <c r="E150" s="1">
        <v>96.55384615384615</v>
      </c>
    </row>
    <row r="151" ht="15.75" customHeight="1">
      <c r="A151" s="1" t="s">
        <v>333</v>
      </c>
      <c r="B151" s="8">
        <v>110.40023076923075</v>
      </c>
      <c r="D151" s="1"/>
      <c r="E151" s="1">
        <v>129.12307692307692</v>
      </c>
    </row>
    <row r="152" ht="15.75" customHeight="1">
      <c r="A152" s="1" t="s">
        <v>334</v>
      </c>
      <c r="B152" s="8">
        <v>72.16199999999998</v>
      </c>
      <c r="D152" s="1"/>
      <c r="E152" s="1">
        <v>84.39999999999999</v>
      </c>
    </row>
    <row r="153" ht="15.75" customHeight="1">
      <c r="A153" s="1" t="s">
        <v>335</v>
      </c>
      <c r="B153" s="8">
        <v>52.74692307692307</v>
      </c>
      <c r="D153" s="1"/>
      <c r="E153" s="1">
        <v>61.69230769230769</v>
      </c>
    </row>
    <row r="154" ht="15.75" customHeight="1">
      <c r="A154" s="1" t="s">
        <v>336</v>
      </c>
      <c r="B154" s="8">
        <v>165.46223076923076</v>
      </c>
      <c r="D154" s="1"/>
      <c r="E154" s="1">
        <v>193.52307692307693</v>
      </c>
    </row>
    <row r="155" ht="15.75" customHeight="1">
      <c r="A155" s="1" t="s">
        <v>337</v>
      </c>
      <c r="B155" s="8">
        <v>91.24823076923076</v>
      </c>
      <c r="D155" s="1"/>
      <c r="E155" s="1">
        <v>106.72307692307693</v>
      </c>
    </row>
    <row r="156" ht="15.75" customHeight="1">
      <c r="A156" s="1" t="s">
        <v>338</v>
      </c>
      <c r="B156" s="8">
        <v>236.88761538461537</v>
      </c>
      <c r="D156" s="1"/>
      <c r="E156" s="1">
        <v>277.0615384615385</v>
      </c>
    </row>
    <row r="157" ht="15.75" customHeight="1">
      <c r="A157" s="1" t="s">
        <v>339</v>
      </c>
      <c r="B157" s="8">
        <v>116.964</v>
      </c>
      <c r="D157" s="1"/>
      <c r="E157" s="1">
        <v>136.8</v>
      </c>
    </row>
    <row r="158" ht="15.75" customHeight="1">
      <c r="A158" s="1" t="s">
        <v>340</v>
      </c>
      <c r="B158" s="8">
        <v>124.08023076923075</v>
      </c>
      <c r="D158" s="1"/>
      <c r="E158" s="1">
        <v>145.12307692307692</v>
      </c>
    </row>
    <row r="159" ht="15.75" customHeight="1">
      <c r="A159" s="1" t="s">
        <v>341</v>
      </c>
      <c r="B159" s="8">
        <v>211.80323076923074</v>
      </c>
      <c r="D159" s="1"/>
      <c r="E159" s="1">
        <v>247.72307692307692</v>
      </c>
    </row>
    <row r="160" ht="15.75" customHeight="1">
      <c r="A160" s="1" t="s">
        <v>342</v>
      </c>
      <c r="B160" s="8">
        <v>104.19161538461536</v>
      </c>
      <c r="D160" s="1"/>
      <c r="E160" s="1">
        <v>121.86153846153844</v>
      </c>
    </row>
    <row r="161" ht="15.75" customHeight="1">
      <c r="A161" s="1" t="s">
        <v>343</v>
      </c>
      <c r="B161" s="8">
        <v>124.08023076923075</v>
      </c>
      <c r="D161" s="1"/>
      <c r="E161" s="1">
        <v>145.12307692307692</v>
      </c>
    </row>
    <row r="162" ht="15.75" customHeight="1">
      <c r="A162" s="1" t="s">
        <v>344</v>
      </c>
      <c r="B162" s="8">
        <v>174.20953846153844</v>
      </c>
      <c r="D162" s="1"/>
      <c r="E162" s="1">
        <v>203.75384615384615</v>
      </c>
    </row>
    <row r="163" ht="15.75" customHeight="1">
      <c r="A163" s="1" t="s">
        <v>345</v>
      </c>
      <c r="B163" s="8">
        <v>180.9048461538461</v>
      </c>
      <c r="D163" s="1"/>
      <c r="E163" s="1">
        <v>211.58461538461538</v>
      </c>
    </row>
    <row r="164" ht="15.75" customHeight="1">
      <c r="A164" s="1" t="s">
        <v>346</v>
      </c>
      <c r="B164" s="8">
        <v>186.7451538461538</v>
      </c>
      <c r="D164" s="1"/>
      <c r="E164" s="1">
        <v>218.4153846153846</v>
      </c>
    </row>
    <row r="165" ht="15.75" customHeight="1">
      <c r="A165" s="1" t="s">
        <v>347</v>
      </c>
      <c r="B165" s="8">
        <v>196.76838461538458</v>
      </c>
      <c r="D165" s="1"/>
      <c r="E165" s="1">
        <v>230.13846153846154</v>
      </c>
    </row>
    <row r="166" ht="15.75" customHeight="1">
      <c r="A166" s="1" t="s">
        <v>348</v>
      </c>
      <c r="B166" s="8">
        <v>231.4024615384615</v>
      </c>
      <c r="D166" s="1"/>
      <c r="E166" s="1">
        <v>270.6461538461538</v>
      </c>
    </row>
    <row r="167" ht="15.75" customHeight="1">
      <c r="A167" s="1" t="s">
        <v>349</v>
      </c>
      <c r="B167" s="8">
        <v>179.62892307692303</v>
      </c>
      <c r="D167" s="1"/>
      <c r="E167" s="1">
        <v>210.09230769230768</v>
      </c>
    </row>
    <row r="168" ht="15.75" customHeight="1">
      <c r="A168" s="1" t="s">
        <v>350</v>
      </c>
      <c r="B168" s="8">
        <v>236.88761538461537</v>
      </c>
      <c r="D168" s="1"/>
      <c r="E168" s="1">
        <v>277.0615384615385</v>
      </c>
    </row>
    <row r="169" ht="15.75" customHeight="1">
      <c r="A169" s="1" t="s">
        <v>351</v>
      </c>
      <c r="B169" s="8">
        <v>151.65069230769228</v>
      </c>
      <c r="D169" s="1"/>
      <c r="E169" s="1">
        <v>177.36923076923077</v>
      </c>
    </row>
    <row r="170" ht="15.75" customHeight="1">
      <c r="A170" s="1" t="s">
        <v>352</v>
      </c>
      <c r="B170" s="8">
        <v>211.1718461538461</v>
      </c>
      <c r="D170" s="1"/>
      <c r="E170" s="1">
        <v>246.98461538461535</v>
      </c>
    </row>
    <row r="171" ht="15.75" customHeight="1">
      <c r="A171" s="1" t="s">
        <v>353</v>
      </c>
      <c r="B171" s="8">
        <v>197.21561538461538</v>
      </c>
      <c r="D171" s="1"/>
      <c r="E171" s="1">
        <v>230.66153846153847</v>
      </c>
    </row>
    <row r="172" ht="15.75" customHeight="1">
      <c r="A172" s="1" t="s">
        <v>354</v>
      </c>
      <c r="B172" s="8">
        <v>231.4024615384615</v>
      </c>
      <c r="D172" s="1"/>
      <c r="E172" s="1">
        <v>270.6461538461538</v>
      </c>
    </row>
    <row r="173" ht="15.75" customHeight="1">
      <c r="A173" s="1" t="s">
        <v>355</v>
      </c>
      <c r="B173" s="8">
        <v>226.79861538461532</v>
      </c>
      <c r="D173" s="1"/>
      <c r="E173" s="1">
        <v>265.2615384615384</v>
      </c>
    </row>
    <row r="174" ht="15.75" customHeight="1">
      <c r="A174" s="1" t="s">
        <v>356</v>
      </c>
      <c r="B174" s="8">
        <v>103.81015384615382</v>
      </c>
      <c r="D174" s="1"/>
      <c r="E174" s="1">
        <v>121.41538461538461</v>
      </c>
    </row>
    <row r="175" ht="15.75" customHeight="1">
      <c r="A175" s="1" t="s">
        <v>357</v>
      </c>
      <c r="B175" s="8">
        <v>96.97015384615382</v>
      </c>
      <c r="D175" s="1"/>
      <c r="E175" s="1">
        <v>113.41538461538461</v>
      </c>
    </row>
    <row r="176" ht="15.75" customHeight="1">
      <c r="A176" s="1" t="s">
        <v>358</v>
      </c>
      <c r="B176" s="8">
        <v>104.73092307692306</v>
      </c>
      <c r="D176" s="1"/>
      <c r="E176" s="1">
        <v>122.49230769230769</v>
      </c>
    </row>
    <row r="177" ht="15.75" customHeight="1">
      <c r="A177" s="1" t="s">
        <v>359</v>
      </c>
      <c r="B177" s="8">
        <v>124.9220769230769</v>
      </c>
      <c r="D177" s="1"/>
      <c r="E177" s="1">
        <v>146.1076923076923</v>
      </c>
    </row>
    <row r="178" ht="15.75" customHeight="1">
      <c r="A178" s="1" t="s">
        <v>360</v>
      </c>
      <c r="B178" s="8">
        <v>155.9914615384615</v>
      </c>
      <c r="D178" s="1"/>
      <c r="E178" s="1">
        <v>182.44615384615383</v>
      </c>
    </row>
    <row r="179" ht="15.75" customHeight="1">
      <c r="A179" s="1" t="s">
        <v>361</v>
      </c>
      <c r="B179" s="8">
        <v>27.715153846153843</v>
      </c>
      <c r="D179" s="1"/>
      <c r="E179" s="1">
        <v>32.41538461538462</v>
      </c>
    </row>
    <row r="180" ht="15.75" customHeight="1">
      <c r="A180" s="1" t="s">
        <v>362</v>
      </c>
      <c r="B180" s="8">
        <v>12.535615384615381</v>
      </c>
      <c r="D180" s="1"/>
      <c r="E180" s="1">
        <v>14.66153846153846</v>
      </c>
    </row>
    <row r="181" ht="15.75" customHeight="1">
      <c r="A181" s="1" t="s">
        <v>363</v>
      </c>
      <c r="B181" s="8">
        <v>15.61361538461538</v>
      </c>
      <c r="D181" s="1"/>
      <c r="E181" s="1">
        <v>18.26153846153846</v>
      </c>
    </row>
    <row r="182" ht="15.75" customHeight="1">
      <c r="A182" s="1" t="s">
        <v>364</v>
      </c>
      <c r="B182" s="8">
        <v>13.482692307692306</v>
      </c>
      <c r="D182" s="1"/>
      <c r="E182" s="1">
        <v>15.769230769230768</v>
      </c>
    </row>
    <row r="183" ht="15.75" customHeight="1">
      <c r="A183" s="1" t="s">
        <v>365</v>
      </c>
      <c r="B183" s="8">
        <v>81.55384615384614</v>
      </c>
      <c r="D183" s="1"/>
      <c r="E183" s="1">
        <v>95.38461538461539</v>
      </c>
    </row>
    <row r="184" ht="15.75" customHeight="1">
      <c r="A184" s="1" t="s">
        <v>366</v>
      </c>
      <c r="B184" s="8">
        <v>83.43484615384614</v>
      </c>
      <c r="D184" s="1"/>
      <c r="E184" s="1">
        <v>97.58461538461538</v>
      </c>
    </row>
    <row r="185" ht="15.75" customHeight="1">
      <c r="A185" s="1" t="s">
        <v>367</v>
      </c>
      <c r="B185" s="8">
        <v>8.326384615384613</v>
      </c>
      <c r="D185" s="1"/>
      <c r="E185" s="1">
        <v>9.738461538461538</v>
      </c>
    </row>
    <row r="186" ht="15.75" customHeight="1">
      <c r="A186" s="1" t="s">
        <v>368</v>
      </c>
      <c r="B186" s="8">
        <v>18.41538461538461</v>
      </c>
      <c r="D186" s="1"/>
      <c r="E186" s="1">
        <v>21.538461538461537</v>
      </c>
    </row>
    <row r="187" ht="15.75" customHeight="1">
      <c r="A187" s="1" t="s">
        <v>369</v>
      </c>
      <c r="B187" s="8">
        <v>23.703230769230764</v>
      </c>
      <c r="D187" s="1"/>
      <c r="E187" s="1">
        <v>27.72307692307692</v>
      </c>
    </row>
    <row r="188" ht="15.75" customHeight="1">
      <c r="A188" s="1" t="s">
        <v>370</v>
      </c>
      <c r="B188" s="8">
        <v>40.40861538461537</v>
      </c>
      <c r="D188" s="1"/>
      <c r="E188" s="1">
        <v>47.26153846153846</v>
      </c>
    </row>
    <row r="189" ht="15.75" customHeight="1">
      <c r="A189" s="1" t="s">
        <v>371</v>
      </c>
      <c r="B189" s="8">
        <v>52.54961538461538</v>
      </c>
      <c r="D189" s="1"/>
      <c r="E189" s="1">
        <v>61.46153846153847</v>
      </c>
    </row>
    <row r="190" ht="15.75" customHeight="1">
      <c r="A190" s="1" t="s">
        <v>372</v>
      </c>
      <c r="B190" s="8">
        <v>65.87446153846153</v>
      </c>
      <c r="D190" s="1"/>
      <c r="E190" s="1">
        <v>77.04615384615384</v>
      </c>
    </row>
    <row r="191" ht="15.75" customHeight="1">
      <c r="A191" s="1" t="s">
        <v>373</v>
      </c>
      <c r="B191" s="8">
        <v>52.48844999999999</v>
      </c>
      <c r="D191" s="1"/>
      <c r="E191" s="9">
        <v>61.39</v>
      </c>
    </row>
    <row r="192" ht="15.75" customHeight="1">
      <c r="A192" s="1" t="s">
        <v>374</v>
      </c>
      <c r="B192" s="8">
        <v>82.96919999999999</v>
      </c>
      <c r="D192" s="1"/>
      <c r="E192" s="9">
        <v>97.04</v>
      </c>
    </row>
    <row r="193" ht="15.75" customHeight="1">
      <c r="A193" s="1" t="s">
        <v>375</v>
      </c>
      <c r="B193" s="8">
        <v>109.34594999999999</v>
      </c>
      <c r="D193" s="1"/>
      <c r="E193" s="9">
        <v>127.89</v>
      </c>
    </row>
    <row r="194" ht="15.75" customHeight="1">
      <c r="A194" s="1" t="s">
        <v>376</v>
      </c>
      <c r="B194" s="8">
        <v>135.72269999999997</v>
      </c>
      <c r="D194" s="1"/>
      <c r="E194" s="9">
        <v>158.74</v>
      </c>
    </row>
    <row r="195" ht="15.75" customHeight="1">
      <c r="A195" s="1" t="s">
        <v>377</v>
      </c>
      <c r="B195" s="8">
        <v>76.59944999999999</v>
      </c>
      <c r="D195" s="1"/>
      <c r="E195" s="9">
        <v>89.59</v>
      </c>
    </row>
    <row r="196" ht="15.75" customHeight="1">
      <c r="A196" s="1" t="s">
        <v>378</v>
      </c>
      <c r="B196" s="8">
        <v>129.71204999999998</v>
      </c>
      <c r="D196" s="1"/>
      <c r="E196" s="9">
        <v>151.71</v>
      </c>
    </row>
    <row r="197" ht="15.75" customHeight="1">
      <c r="A197" s="1" t="s">
        <v>379</v>
      </c>
      <c r="B197" s="8">
        <v>192.46904999999998</v>
      </c>
      <c r="D197" s="1"/>
      <c r="E197" s="9">
        <v>225.11</v>
      </c>
    </row>
    <row r="198" ht="15.75" customHeight="1">
      <c r="A198" s="1" t="s">
        <v>380</v>
      </c>
      <c r="B198" s="8">
        <v>253.45619999999997</v>
      </c>
      <c r="D198" s="1"/>
      <c r="E198" s="9">
        <v>296.44</v>
      </c>
    </row>
    <row r="199" ht="15.75" customHeight="1">
      <c r="A199" s="1" t="s">
        <v>381</v>
      </c>
      <c r="B199" s="8">
        <v>26.53130769230769</v>
      </c>
      <c r="D199" s="1"/>
      <c r="E199" s="1">
        <v>31.03076923076923</v>
      </c>
    </row>
    <row r="200" ht="15.75" customHeight="1">
      <c r="A200" s="1" t="s">
        <v>382</v>
      </c>
      <c r="B200" s="8">
        <v>30.885230769230763</v>
      </c>
      <c r="D200" s="1"/>
      <c r="E200" s="1">
        <v>36.12307692307692</v>
      </c>
    </row>
    <row r="201" ht="15.75" customHeight="1">
      <c r="A201" s="1" t="s">
        <v>383</v>
      </c>
      <c r="B201" s="8">
        <v>49.68207692307692</v>
      </c>
      <c r="D201" s="1"/>
      <c r="E201" s="1">
        <v>58.10769230769231</v>
      </c>
    </row>
    <row r="202" ht="15.75" customHeight="1">
      <c r="A202" s="1" t="s">
        <v>384</v>
      </c>
      <c r="B202" s="8">
        <v>47.49853846153845</v>
      </c>
      <c r="D202" s="1"/>
      <c r="E202" s="1">
        <v>55.55384615384615</v>
      </c>
    </row>
    <row r="203" ht="15.75" customHeight="1">
      <c r="A203" s="1" t="s">
        <v>385</v>
      </c>
      <c r="B203" s="8">
        <v>45.551769230769224</v>
      </c>
      <c r="D203" s="1"/>
      <c r="E203" s="1">
        <v>53.276923076923076</v>
      </c>
    </row>
    <row r="204" ht="15.75" customHeight="1">
      <c r="A204" s="1" t="s">
        <v>386</v>
      </c>
      <c r="B204" s="8">
        <v>57.96899999999999</v>
      </c>
      <c r="D204" s="1"/>
      <c r="E204" s="1">
        <v>67.8</v>
      </c>
    </row>
    <row r="205" ht="15.75" customHeight="1">
      <c r="A205" s="1" t="s">
        <v>387</v>
      </c>
      <c r="B205" s="8">
        <v>12.496153846153844</v>
      </c>
      <c r="D205" s="1"/>
      <c r="E205" s="1">
        <v>14.615384615384615</v>
      </c>
    </row>
    <row r="206" ht="15.75" customHeight="1">
      <c r="A206" s="1" t="s">
        <v>388</v>
      </c>
      <c r="B206" s="8">
        <v>16.44230769230769</v>
      </c>
      <c r="D206" s="1"/>
      <c r="E206" s="1">
        <v>19.23076923076923</v>
      </c>
    </row>
    <row r="207" ht="15.75" customHeight="1">
      <c r="A207" s="1" t="s">
        <v>389</v>
      </c>
      <c r="B207" s="8">
        <v>17.994461538461536</v>
      </c>
      <c r="D207" s="1"/>
      <c r="E207" s="1">
        <v>21.046153846153846</v>
      </c>
    </row>
    <row r="208" ht="15.75" customHeight="1">
      <c r="A208" s="1" t="s">
        <v>390</v>
      </c>
      <c r="B208" s="8">
        <v>21.927461538461536</v>
      </c>
      <c r="D208" s="1"/>
      <c r="E208" s="1">
        <v>25.646153846153847</v>
      </c>
    </row>
    <row r="209" ht="15.75" customHeight="1">
      <c r="A209" s="1" t="s">
        <v>391</v>
      </c>
      <c r="B209" s="8">
        <v>16.36338461538461</v>
      </c>
      <c r="D209" s="1"/>
      <c r="E209" s="1">
        <v>19.138461538461538</v>
      </c>
    </row>
    <row r="210" ht="15.75" customHeight="1">
      <c r="A210" s="1" t="s">
        <v>392</v>
      </c>
      <c r="B210" s="8">
        <v>20.322692307692304</v>
      </c>
      <c r="D210" s="1"/>
      <c r="E210" s="1">
        <v>23.769230769230766</v>
      </c>
    </row>
    <row r="211" ht="15.75" customHeight="1">
      <c r="A211" s="1" t="s">
        <v>393</v>
      </c>
      <c r="B211" s="8">
        <v>28.00453846153846</v>
      </c>
      <c r="D211" s="1"/>
      <c r="E211" s="1">
        <v>32.753846153846155</v>
      </c>
    </row>
    <row r="212" ht="15.75" customHeight="1">
      <c r="A212" s="1" t="s">
        <v>394</v>
      </c>
      <c r="B212" s="8">
        <v>32.08223076923076</v>
      </c>
      <c r="D212" s="1"/>
      <c r="E212" s="1">
        <v>37.52307692307692</v>
      </c>
    </row>
    <row r="213" ht="15.75" customHeight="1">
      <c r="A213" s="1" t="s">
        <v>395</v>
      </c>
      <c r="B213" s="8">
        <v>53.45723076923076</v>
      </c>
      <c r="D213" s="1"/>
      <c r="E213" s="1">
        <v>62.52307692307692</v>
      </c>
    </row>
    <row r="214" ht="15.75" customHeight="1">
      <c r="A214" s="1" t="s">
        <v>396</v>
      </c>
      <c r="B214" s="8">
        <v>60.20515384615385</v>
      </c>
      <c r="D214" s="1"/>
      <c r="E214" s="1">
        <v>70.41538461538462</v>
      </c>
    </row>
    <row r="215" ht="15.75" customHeight="1">
      <c r="A215" s="1" t="s">
        <v>397</v>
      </c>
      <c r="B215" s="8">
        <v>657.7975384615384</v>
      </c>
      <c r="D215" s="1"/>
      <c r="E215" s="1">
        <v>769.3538461538461</v>
      </c>
    </row>
    <row r="216" ht="15.75" customHeight="1">
      <c r="A216" s="1" t="s">
        <v>398</v>
      </c>
      <c r="B216" s="8">
        <v>607.9181538461538</v>
      </c>
      <c r="D216" s="1"/>
      <c r="E216" s="1">
        <v>711.0153846153846</v>
      </c>
    </row>
    <row r="217" ht="15.75" customHeight="1">
      <c r="A217" s="1" t="s">
        <v>399</v>
      </c>
      <c r="B217" s="8">
        <v>813.9336923076921</v>
      </c>
      <c r="D217" s="1"/>
      <c r="E217" s="1">
        <v>951.9692307692306</v>
      </c>
    </row>
    <row r="218" ht="15.75" customHeight="1">
      <c r="A218" s="1" t="s">
        <v>400</v>
      </c>
      <c r="B218" s="8">
        <v>810.2374615384614</v>
      </c>
      <c r="D218" s="1"/>
      <c r="E218" s="1">
        <v>947.6461538461539</v>
      </c>
    </row>
    <row r="219" ht="15.75" customHeight="1">
      <c r="A219" s="1" t="s">
        <v>401</v>
      </c>
      <c r="B219" s="8">
        <v>585.7407692307692</v>
      </c>
      <c r="D219" s="1"/>
      <c r="E219" s="1">
        <v>685.0769230769231</v>
      </c>
    </row>
    <row r="220" ht="15.75" customHeight="1">
      <c r="A220" s="1" t="s">
        <v>402</v>
      </c>
      <c r="B220" s="8">
        <v>734.4844615384615</v>
      </c>
      <c r="D220" s="1"/>
      <c r="E220" s="1">
        <v>859.0461538461539</v>
      </c>
    </row>
    <row r="221" ht="15.75" customHeight="1">
      <c r="A221" s="1" t="s">
        <v>403</v>
      </c>
      <c r="B221" s="8">
        <v>601.4464615384614</v>
      </c>
      <c r="D221" s="1"/>
      <c r="E221" s="1">
        <v>703.4461538461538</v>
      </c>
    </row>
    <row r="222" ht="15.75" customHeight="1">
      <c r="A222" s="1" t="s">
        <v>404</v>
      </c>
      <c r="B222" s="8">
        <v>646.708846153846</v>
      </c>
      <c r="D222" s="1"/>
      <c r="E222" s="1">
        <v>756.3846153846154</v>
      </c>
    </row>
    <row r="223" ht="15.75" customHeight="1">
      <c r="A223" s="1" t="s">
        <v>405</v>
      </c>
      <c r="B223" s="8">
        <v>754.8071538461538</v>
      </c>
      <c r="D223" s="1"/>
      <c r="E223" s="1">
        <v>882.8153846153847</v>
      </c>
    </row>
    <row r="224" ht="15.75" customHeight="1">
      <c r="A224" s="1" t="s">
        <v>406</v>
      </c>
      <c r="B224" s="8">
        <v>606.0634615384614</v>
      </c>
      <c r="D224" s="1"/>
      <c r="E224" s="1">
        <v>708.8461538461538</v>
      </c>
    </row>
    <row r="225" ht="15.75" customHeight="1">
      <c r="A225" s="1" t="s">
        <v>407</v>
      </c>
      <c r="B225" s="8">
        <v>735.4052307692307</v>
      </c>
      <c r="D225" s="1"/>
      <c r="E225" s="1">
        <v>860.123076923077</v>
      </c>
    </row>
    <row r="226" ht="15.75" customHeight="1">
      <c r="A226" s="1" t="s">
        <v>408</v>
      </c>
      <c r="B226" s="8">
        <v>594.9747692307691</v>
      </c>
      <c r="D226" s="1"/>
      <c r="E226" s="1">
        <v>695.876923076923</v>
      </c>
    </row>
    <row r="227" ht="15.75" customHeight="1">
      <c r="A227" s="1" t="s">
        <v>409</v>
      </c>
      <c r="B227" s="8">
        <v>734.4844615384615</v>
      </c>
      <c r="D227" s="1"/>
      <c r="E227" s="1">
        <v>859.0461538461539</v>
      </c>
    </row>
    <row r="228" ht="15.75" customHeight="1">
      <c r="A228" s="1" t="s">
        <v>410</v>
      </c>
      <c r="B228" s="8">
        <v>606.9842307692306</v>
      </c>
      <c r="D228" s="1"/>
      <c r="E228" s="1">
        <v>709.9230769230769</v>
      </c>
    </row>
    <row r="229" ht="15.75" customHeight="1">
      <c r="A229" s="1" t="s">
        <v>411</v>
      </c>
      <c r="B229" s="8">
        <v>589.4369999999999</v>
      </c>
      <c r="D229" s="1"/>
      <c r="E229" s="1">
        <v>689.4</v>
      </c>
    </row>
    <row r="230" ht="15.75" customHeight="1">
      <c r="A230" s="1" t="s">
        <v>412</v>
      </c>
      <c r="B230" s="8">
        <v>617.1521538461537</v>
      </c>
      <c r="D230" s="1"/>
      <c r="E230" s="1">
        <v>721.8153846153846</v>
      </c>
    </row>
    <row r="231" ht="15.75" customHeight="1">
      <c r="A231" s="1" t="s">
        <v>413</v>
      </c>
      <c r="B231" s="8">
        <v>594.9747692307691</v>
      </c>
      <c r="D231" s="1"/>
      <c r="E231" s="1">
        <v>695.876923076923</v>
      </c>
    </row>
    <row r="232" ht="15.75" customHeight="1">
      <c r="A232" s="1" t="s">
        <v>414</v>
      </c>
      <c r="B232" s="8">
        <v>26.610230769230764</v>
      </c>
      <c r="D232" s="1"/>
      <c r="E232" s="1">
        <v>31.123076923076923</v>
      </c>
    </row>
    <row r="233" ht="15.75" customHeight="1">
      <c r="A233" s="1" t="s">
        <v>415</v>
      </c>
      <c r="B233" s="8">
        <v>31.92438461538461</v>
      </c>
      <c r="D233" s="1"/>
      <c r="E233" s="1">
        <v>37.33846153846154</v>
      </c>
    </row>
    <row r="234" ht="15.75" customHeight="1">
      <c r="A234" s="1" t="s">
        <v>416</v>
      </c>
      <c r="B234" s="8">
        <v>42.60530769230768</v>
      </c>
      <c r="D234" s="1"/>
      <c r="E234" s="1">
        <v>49.83076923076923</v>
      </c>
    </row>
    <row r="235" ht="15.75" customHeight="1">
      <c r="A235" s="1" t="s">
        <v>417</v>
      </c>
      <c r="B235" s="8">
        <v>10.641461538461536</v>
      </c>
      <c r="D235" s="1"/>
      <c r="E235" s="1">
        <v>12.446153846153846</v>
      </c>
    </row>
    <row r="236" ht="15.75" customHeight="1">
      <c r="A236" s="1" t="s">
        <v>418</v>
      </c>
      <c r="B236" s="8">
        <v>21.743307692307692</v>
      </c>
      <c r="D236" s="1"/>
      <c r="E236" s="1">
        <v>25.430769230769233</v>
      </c>
    </row>
    <row r="237" ht="15.75" customHeight="1">
      <c r="A237" s="1" t="s">
        <v>419</v>
      </c>
      <c r="B237" s="8">
        <v>12.075230769230767</v>
      </c>
      <c r="D237" s="1"/>
      <c r="E237" s="1">
        <v>14.123076923076923</v>
      </c>
    </row>
    <row r="238" ht="15.75" customHeight="1">
      <c r="A238" s="1" t="s">
        <v>420</v>
      </c>
      <c r="B238" s="8">
        <v>42.60530769230768</v>
      </c>
      <c r="D238" s="1"/>
      <c r="E238" s="1">
        <v>49.83076923076923</v>
      </c>
    </row>
    <row r="239" ht="15.75" customHeight="1">
      <c r="A239" s="1" t="s">
        <v>421</v>
      </c>
      <c r="B239" s="8">
        <v>21.29607692307692</v>
      </c>
      <c r="D239" s="1"/>
      <c r="E239" s="1">
        <v>24.907692307692308</v>
      </c>
    </row>
    <row r="240" ht="15.75" customHeight="1">
      <c r="A240" s="1" t="s">
        <v>422</v>
      </c>
      <c r="B240" s="8">
        <v>31.92438461538461</v>
      </c>
      <c r="D240" s="1"/>
      <c r="E240" s="1">
        <v>37.33846153846154</v>
      </c>
    </row>
    <row r="241" ht="15.75" customHeight="1">
      <c r="A241" s="1" t="s">
        <v>423</v>
      </c>
      <c r="B241" s="8">
        <v>10.641461538461536</v>
      </c>
      <c r="D241" s="1"/>
      <c r="E241" s="1">
        <v>12.446153846153846</v>
      </c>
    </row>
    <row r="242" ht="15.75" customHeight="1">
      <c r="A242" s="1" t="s">
        <v>424</v>
      </c>
      <c r="B242" s="8">
        <v>12.33830769230769</v>
      </c>
      <c r="D242" s="1"/>
      <c r="E242" s="1">
        <v>14.430769230769231</v>
      </c>
    </row>
    <row r="243" ht="15.75" customHeight="1">
      <c r="A243" s="1" t="s">
        <v>425</v>
      </c>
      <c r="B243" s="8">
        <v>21.29607692307692</v>
      </c>
      <c r="D243" s="1"/>
      <c r="E243" s="1">
        <v>24.907692307692308</v>
      </c>
    </row>
    <row r="244" ht="15.75" customHeight="1">
      <c r="A244" s="1" t="s">
        <v>426</v>
      </c>
      <c r="B244" s="8">
        <v>34.62092307692307</v>
      </c>
      <c r="D244" s="1"/>
      <c r="E244" s="1">
        <v>40.49230769230769</v>
      </c>
    </row>
    <row r="245" ht="15.75" customHeight="1">
      <c r="A245" s="1" t="s">
        <v>427</v>
      </c>
      <c r="B245" s="8">
        <v>42.60530769230768</v>
      </c>
      <c r="D245" s="1"/>
      <c r="E245" s="1">
        <v>49.83076923076923</v>
      </c>
    </row>
    <row r="246" ht="15.75" customHeight="1">
      <c r="A246" s="1" t="s">
        <v>428</v>
      </c>
      <c r="B246" s="8">
        <v>10.641461538461536</v>
      </c>
      <c r="D246" s="1"/>
      <c r="E246" s="1">
        <v>12.446153846153846</v>
      </c>
    </row>
    <row r="247" ht="15.75" customHeight="1">
      <c r="A247" s="1" t="s">
        <v>429</v>
      </c>
      <c r="B247" s="8">
        <v>153.66323076923075</v>
      </c>
      <c r="D247" s="1"/>
      <c r="E247" s="1">
        <v>179.72307692307692</v>
      </c>
    </row>
    <row r="248" ht="15.75" customHeight="1">
      <c r="A248" s="1" t="s">
        <v>430</v>
      </c>
      <c r="B248" s="8">
        <v>57.363923076923065</v>
      </c>
      <c r="D248" s="1"/>
      <c r="E248" s="1">
        <v>67.09230769230768</v>
      </c>
    </row>
    <row r="249" ht="15.75" customHeight="1">
      <c r="A249" s="1" t="s">
        <v>431</v>
      </c>
      <c r="B249" s="8">
        <v>67.05830769230768</v>
      </c>
      <c r="D249" s="1"/>
      <c r="E249" s="1">
        <v>78.43076923076923</v>
      </c>
    </row>
    <row r="250" ht="15.75" customHeight="1">
      <c r="A250" s="1" t="s">
        <v>432</v>
      </c>
      <c r="B250" s="8">
        <v>47.10392307692307</v>
      </c>
      <c r="D250" s="1"/>
      <c r="E250" s="1">
        <v>55.09230769230769</v>
      </c>
    </row>
    <row r="251" ht="15.75" customHeight="1">
      <c r="A251" s="1" t="s">
        <v>433</v>
      </c>
      <c r="B251" s="8">
        <v>99.74561538461536</v>
      </c>
      <c r="D251" s="1"/>
      <c r="E251" s="1">
        <v>116.66153846153846</v>
      </c>
    </row>
    <row r="252" ht="15.75" customHeight="1">
      <c r="A252" s="1" t="s">
        <v>434</v>
      </c>
      <c r="B252" s="8">
        <v>134.34023076923074</v>
      </c>
      <c r="D252" s="1"/>
      <c r="E252" s="1">
        <v>157.12307692307692</v>
      </c>
    </row>
    <row r="253" ht="15.75" customHeight="1">
      <c r="A253" s="1" t="s">
        <v>435</v>
      </c>
      <c r="B253" s="8">
        <v>82.3956923076923</v>
      </c>
      <c r="D253" s="1"/>
      <c r="E253" s="1">
        <v>96.36923076923077</v>
      </c>
    </row>
    <row r="254" ht="15.75" customHeight="1">
      <c r="A254" s="1" t="s">
        <v>436</v>
      </c>
      <c r="B254" s="8">
        <v>132.2356153846154</v>
      </c>
      <c r="D254" s="1"/>
      <c r="E254" s="1">
        <v>154.66153846153847</v>
      </c>
    </row>
    <row r="255" ht="15.75" customHeight="1">
      <c r="A255" s="1" t="s">
        <v>437</v>
      </c>
      <c r="B255" s="8">
        <v>53.02315384615384</v>
      </c>
      <c r="D255" s="1"/>
      <c r="E255" s="1">
        <v>62.01538461538462</v>
      </c>
    </row>
    <row r="256" ht="15.75" customHeight="1">
      <c r="A256" s="1" t="s">
        <v>438</v>
      </c>
      <c r="B256" s="8">
        <v>47.10392307692307</v>
      </c>
      <c r="D256" s="1"/>
      <c r="E256" s="1">
        <v>55.09230769230769</v>
      </c>
    </row>
    <row r="257" ht="15.75" customHeight="1">
      <c r="A257" s="1" t="s">
        <v>439</v>
      </c>
      <c r="B257" s="8">
        <v>141.52223076923076</v>
      </c>
      <c r="D257" s="1"/>
      <c r="E257" s="1">
        <v>165.52307692307693</v>
      </c>
    </row>
    <row r="258" ht="15.75" customHeight="1">
      <c r="A258" s="1" t="s">
        <v>440</v>
      </c>
      <c r="B258" s="8">
        <v>58.74507692307691</v>
      </c>
      <c r="D258" s="1"/>
      <c r="E258" s="1">
        <v>68.7076923076923</v>
      </c>
    </row>
    <row r="259" ht="15.75" customHeight="1">
      <c r="A259" s="1" t="s">
        <v>441</v>
      </c>
      <c r="B259" s="8">
        <v>126.59261538461536</v>
      </c>
      <c r="D259" s="1"/>
      <c r="E259" s="1">
        <v>148.06153846153845</v>
      </c>
    </row>
    <row r="260" ht="15.75" customHeight="1">
      <c r="A260" s="1" t="s">
        <v>442</v>
      </c>
      <c r="B260" s="8">
        <v>154.5050769230769</v>
      </c>
      <c r="D260" s="1"/>
      <c r="E260" s="1">
        <v>180.7076923076923</v>
      </c>
    </row>
    <row r="261" ht="15.75" customHeight="1">
      <c r="A261" s="1" t="s">
        <v>443</v>
      </c>
      <c r="B261" s="8">
        <v>97.02276923076923</v>
      </c>
      <c r="D261" s="1"/>
      <c r="E261" s="1">
        <v>113.47692307692309</v>
      </c>
    </row>
    <row r="262" ht="15.75" customHeight="1">
      <c r="A262" s="1" t="s">
        <v>444</v>
      </c>
      <c r="B262" s="8">
        <v>154.80761538461536</v>
      </c>
      <c r="D262" s="1"/>
      <c r="E262" s="1">
        <v>181.06153846153845</v>
      </c>
    </row>
    <row r="263" ht="15.75" customHeight="1">
      <c r="A263" s="1" t="s">
        <v>445</v>
      </c>
      <c r="B263" s="8">
        <v>174.10430769230766</v>
      </c>
      <c r="D263" s="1"/>
      <c r="E263" s="1">
        <v>203.63076923076923</v>
      </c>
    </row>
    <row r="264" ht="15.75" customHeight="1">
      <c r="A264" s="1" t="s">
        <v>446</v>
      </c>
      <c r="B264" s="8">
        <v>128.30261538461536</v>
      </c>
      <c r="D264" s="1"/>
      <c r="E264" s="1">
        <v>150.06153846153848</v>
      </c>
    </row>
    <row r="265" ht="15.75" customHeight="1">
      <c r="A265" s="1" t="s">
        <v>447</v>
      </c>
      <c r="B265" s="8">
        <v>184.1406923076923</v>
      </c>
      <c r="D265" s="1"/>
      <c r="E265" s="1">
        <v>215.36923076923077</v>
      </c>
    </row>
    <row r="266" ht="15.75" customHeight="1">
      <c r="A266" s="1" t="s">
        <v>448</v>
      </c>
      <c r="B266" s="8">
        <v>138.2074615384615</v>
      </c>
      <c r="D266" s="1"/>
      <c r="E266" s="1">
        <v>161.64615384615382</v>
      </c>
    </row>
    <row r="267" ht="15.75" customHeight="1">
      <c r="A267" s="1" t="s">
        <v>449</v>
      </c>
      <c r="B267" s="8">
        <v>157.01746153846153</v>
      </c>
      <c r="D267" s="1"/>
      <c r="E267" s="1">
        <v>183.64615384615385</v>
      </c>
    </row>
    <row r="268" ht="15.75" customHeight="1">
      <c r="A268" s="1" t="s">
        <v>450</v>
      </c>
      <c r="B268" s="8">
        <v>154.5050769230769</v>
      </c>
      <c r="D268" s="1"/>
      <c r="E268" s="1">
        <v>180.7076923076923</v>
      </c>
    </row>
    <row r="269" ht="15.75" customHeight="1">
      <c r="A269" s="1" t="s">
        <v>451</v>
      </c>
      <c r="B269" s="8">
        <v>139.57546153846152</v>
      </c>
      <c r="D269" s="1"/>
      <c r="E269" s="1">
        <v>163.24615384615385</v>
      </c>
    </row>
    <row r="270" ht="15.75" customHeight="1">
      <c r="A270" s="1" t="s">
        <v>452</v>
      </c>
      <c r="B270" s="8">
        <v>115.89853846153844</v>
      </c>
      <c r="D270" s="1"/>
      <c r="E270" s="1">
        <v>135.55384615384614</v>
      </c>
    </row>
    <row r="271" ht="15.75" customHeight="1">
      <c r="A271" s="1" t="s">
        <v>453</v>
      </c>
      <c r="B271" s="8">
        <v>86.27607692307691</v>
      </c>
      <c r="D271" s="1"/>
      <c r="E271" s="1">
        <v>100.90769230769232</v>
      </c>
    </row>
    <row r="272" ht="15.75" customHeight="1">
      <c r="A272" s="1" t="s">
        <v>454</v>
      </c>
      <c r="B272" s="8">
        <v>90.72207692307691</v>
      </c>
      <c r="D272" s="1"/>
      <c r="E272" s="1">
        <v>106.1076923076923</v>
      </c>
    </row>
    <row r="273" ht="15.75" customHeight="1">
      <c r="A273" s="1" t="s">
        <v>455</v>
      </c>
      <c r="B273" s="8">
        <v>178.3924615384615</v>
      </c>
      <c r="D273" s="1"/>
      <c r="E273" s="1">
        <v>208.64615384615385</v>
      </c>
    </row>
    <row r="274" ht="15.75" customHeight="1">
      <c r="A274" s="1" t="s">
        <v>456</v>
      </c>
      <c r="B274" s="8">
        <v>184.48269230769228</v>
      </c>
      <c r="D274" s="1"/>
      <c r="E274" s="1">
        <v>215.76923076923077</v>
      </c>
    </row>
    <row r="275" ht="15.75" customHeight="1">
      <c r="A275" s="1" t="s">
        <v>457</v>
      </c>
      <c r="B275" s="8">
        <v>106.29623076923076</v>
      </c>
      <c r="D275" s="1"/>
      <c r="E275" s="1">
        <v>124.32307692307693</v>
      </c>
    </row>
    <row r="276" ht="15.75" customHeight="1">
      <c r="A276" s="1" t="s">
        <v>458</v>
      </c>
      <c r="B276" s="8">
        <v>67.97907692307692</v>
      </c>
      <c r="D276" s="1"/>
      <c r="E276" s="1">
        <v>79.50769230769231</v>
      </c>
    </row>
    <row r="277" ht="15.75" customHeight="1">
      <c r="A277" s="1" t="s">
        <v>459</v>
      </c>
      <c r="B277" s="8">
        <v>167.44846153846152</v>
      </c>
      <c r="D277" s="1"/>
      <c r="E277" s="1">
        <v>195.84615384615384</v>
      </c>
    </row>
    <row r="278" ht="15.75" customHeight="1">
      <c r="A278" s="1" t="s">
        <v>460</v>
      </c>
      <c r="B278" s="8">
        <v>119.23961538461536</v>
      </c>
      <c r="D278" s="1"/>
      <c r="E278" s="1">
        <v>139.46153846153845</v>
      </c>
    </row>
    <row r="279" ht="15.75" customHeight="1">
      <c r="A279" s="1" t="s">
        <v>461</v>
      </c>
      <c r="B279" s="8">
        <v>250.764923076923</v>
      </c>
      <c r="D279" s="1"/>
      <c r="E279" s="1">
        <v>293.29230769230765</v>
      </c>
    </row>
    <row r="280" ht="15.75" customHeight="1">
      <c r="A280" s="1" t="s">
        <v>462</v>
      </c>
      <c r="B280" s="8">
        <v>258.8808461538461</v>
      </c>
      <c r="D280" s="1"/>
      <c r="E280" s="1">
        <v>302.7846153846154</v>
      </c>
    </row>
    <row r="281" ht="15.75" customHeight="1">
      <c r="A281" s="1" t="s">
        <v>463</v>
      </c>
      <c r="B281" s="8">
        <v>141.7195384615384</v>
      </c>
      <c r="D281" s="1"/>
      <c r="E281" s="1">
        <v>165.75384615384613</v>
      </c>
    </row>
    <row r="282" ht="15.75" customHeight="1">
      <c r="A282" s="1" t="s">
        <v>464</v>
      </c>
      <c r="B282" s="8">
        <v>166.55399999999997</v>
      </c>
      <c r="D282" s="1"/>
      <c r="E282" s="1">
        <v>194.8</v>
      </c>
    </row>
    <row r="283" ht="15.75" customHeight="1">
      <c r="A283" s="1" t="s">
        <v>465</v>
      </c>
      <c r="B283" s="8">
        <v>94.19469230769229</v>
      </c>
      <c r="D283" s="1"/>
      <c r="E283" s="1">
        <v>110.16923076923077</v>
      </c>
    </row>
    <row r="284" ht="15.75" customHeight="1">
      <c r="A284" s="1" t="s">
        <v>466</v>
      </c>
      <c r="B284" s="8">
        <v>251.13323076923072</v>
      </c>
      <c r="D284" s="1"/>
      <c r="E284" s="1">
        <v>293.7230769230769</v>
      </c>
    </row>
    <row r="285" ht="15.75" customHeight="1">
      <c r="A285" s="1" t="s">
        <v>467</v>
      </c>
      <c r="B285" s="8">
        <v>339.64546153846146</v>
      </c>
      <c r="D285" s="1"/>
      <c r="E285" s="1">
        <v>397.2461538461538</v>
      </c>
    </row>
    <row r="286" ht="15.75" customHeight="1">
      <c r="A286" s="1" t="s">
        <v>468</v>
      </c>
      <c r="B286" s="8">
        <v>176.74823076923073</v>
      </c>
      <c r="D286" s="1"/>
      <c r="E286" s="1">
        <v>206.72307692307692</v>
      </c>
    </row>
    <row r="287" ht="15.75" customHeight="1">
      <c r="A287" s="1" t="s">
        <v>469</v>
      </c>
      <c r="B287" s="8">
        <v>221.27399999999997</v>
      </c>
      <c r="D287" s="1"/>
      <c r="E287" s="1">
        <v>258.8</v>
      </c>
    </row>
    <row r="288" ht="15.75" customHeight="1">
      <c r="A288" s="1" t="s">
        <v>470</v>
      </c>
      <c r="B288" s="8">
        <v>316.0343076923076</v>
      </c>
      <c r="D288" s="1"/>
      <c r="E288" s="1">
        <v>369.6307692307692</v>
      </c>
    </row>
    <row r="289" ht="15.75" customHeight="1">
      <c r="A289" s="1" t="s">
        <v>471</v>
      </c>
      <c r="B289" s="8">
        <v>315.8501538461538</v>
      </c>
      <c r="D289" s="1"/>
      <c r="E289" s="1">
        <v>369.4153846153846</v>
      </c>
    </row>
    <row r="290" ht="15.75" customHeight="1">
      <c r="A290" s="1" t="s">
        <v>472</v>
      </c>
      <c r="B290" s="8">
        <v>368.26823076923074</v>
      </c>
      <c r="D290" s="1"/>
      <c r="E290" s="1">
        <v>430.723076923077</v>
      </c>
    </row>
    <row r="291" ht="15.75" customHeight="1">
      <c r="A291" s="1" t="s">
        <v>473</v>
      </c>
      <c r="B291" s="8">
        <v>336.3569999999999</v>
      </c>
      <c r="D291" s="1"/>
      <c r="E291" s="1">
        <v>393.4</v>
      </c>
    </row>
    <row r="292" ht="15.75" customHeight="1">
      <c r="A292" s="1" t="s">
        <v>474</v>
      </c>
      <c r="B292" s="8">
        <v>336.3569999999999</v>
      </c>
      <c r="D292" s="1"/>
      <c r="E292" s="1">
        <v>393.4</v>
      </c>
    </row>
    <row r="293" ht="15.75" customHeight="1">
      <c r="A293" s="1" t="s">
        <v>475</v>
      </c>
      <c r="B293" s="8">
        <v>303.774923076923</v>
      </c>
      <c r="D293" s="1"/>
      <c r="E293" s="1">
        <v>355.2923076923077</v>
      </c>
    </row>
    <row r="294" ht="15.75" customHeight="1">
      <c r="A294" s="1" t="s">
        <v>476</v>
      </c>
      <c r="B294" s="8">
        <v>162.10799999999998</v>
      </c>
      <c r="D294" s="1"/>
      <c r="E294" s="1">
        <v>189.6</v>
      </c>
    </row>
    <row r="295" ht="15.75" customHeight="1">
      <c r="A295" s="1" t="s">
        <v>477</v>
      </c>
      <c r="B295" s="8">
        <v>20.78307692307692</v>
      </c>
      <c r="D295" s="1"/>
      <c r="E295" s="1">
        <v>24.307692307692307</v>
      </c>
    </row>
    <row r="296" ht="15.75" customHeight="1">
      <c r="A296" s="1" t="s">
        <v>478</v>
      </c>
      <c r="B296" s="8">
        <v>40.82953846153845</v>
      </c>
      <c r="D296" s="1"/>
      <c r="E296" s="1">
        <v>47.75384615384615</v>
      </c>
    </row>
    <row r="297" ht="15.75" customHeight="1">
      <c r="A297" s="1" t="s">
        <v>479</v>
      </c>
      <c r="B297" s="8">
        <v>41.645076923076914</v>
      </c>
      <c r="D297" s="1"/>
      <c r="E297" s="1">
        <v>48.707692307692305</v>
      </c>
    </row>
    <row r="298" ht="15.75" customHeight="1">
      <c r="A298" s="1" t="s">
        <v>480</v>
      </c>
      <c r="B298" s="8">
        <v>23.54538461538461</v>
      </c>
      <c r="D298" s="1"/>
      <c r="E298" s="1">
        <v>27.538461538461537</v>
      </c>
    </row>
    <row r="299" ht="15.75" customHeight="1">
      <c r="A299" s="1" t="s">
        <v>481</v>
      </c>
      <c r="B299" s="8">
        <v>157.01746153846153</v>
      </c>
      <c r="D299" s="1"/>
      <c r="E299" s="1">
        <v>183.64615384615385</v>
      </c>
    </row>
    <row r="300" ht="15.75" customHeight="1">
      <c r="A300" s="1" t="s">
        <v>482</v>
      </c>
      <c r="B300" s="8">
        <v>141.52223076923076</v>
      </c>
      <c r="D300" s="1"/>
      <c r="E300" s="1">
        <v>165.52307692307693</v>
      </c>
    </row>
    <row r="301" ht="15.75" customHeight="1">
      <c r="A301" s="1" t="s">
        <v>483</v>
      </c>
      <c r="B301" s="8">
        <v>139.57546153846152</v>
      </c>
      <c r="D301" s="1"/>
      <c r="E301" s="1">
        <v>163.24615384615385</v>
      </c>
    </row>
    <row r="302" ht="15.75" customHeight="1">
      <c r="A302" s="1" t="s">
        <v>484</v>
      </c>
      <c r="B302" s="8">
        <v>58.74507692307691</v>
      </c>
      <c r="D302" s="1"/>
      <c r="E302" s="1">
        <v>68.7076923076923</v>
      </c>
    </row>
    <row r="303" ht="15.75" customHeight="1">
      <c r="A303" s="1" t="s">
        <v>485</v>
      </c>
      <c r="B303" s="8">
        <v>126.59261538461536</v>
      </c>
      <c r="D303" s="1"/>
      <c r="E303" s="1">
        <v>148.06153846153845</v>
      </c>
    </row>
    <row r="304" ht="15.75" customHeight="1">
      <c r="A304" s="1" t="s">
        <v>486</v>
      </c>
      <c r="B304" s="8">
        <v>174.10430769230766</v>
      </c>
      <c r="D304" s="1"/>
      <c r="E304" s="1">
        <v>203.63076923076923</v>
      </c>
    </row>
    <row r="305" ht="15.75" customHeight="1">
      <c r="A305" s="1" t="s">
        <v>487</v>
      </c>
      <c r="B305" s="8">
        <v>128.30261538461536</v>
      </c>
      <c r="D305" s="1"/>
      <c r="E305" s="1">
        <v>150.06153846153848</v>
      </c>
    </row>
    <row r="306" ht="15.75" customHeight="1">
      <c r="A306" s="1" t="s">
        <v>488</v>
      </c>
      <c r="B306" s="8">
        <v>154.5050769230769</v>
      </c>
      <c r="D306" s="1"/>
      <c r="E306" s="1">
        <v>180.7076923076923</v>
      </c>
    </row>
    <row r="307" ht="15.75" customHeight="1">
      <c r="A307" s="1" t="s">
        <v>489</v>
      </c>
      <c r="B307" s="8">
        <v>154.5050769230769</v>
      </c>
      <c r="D307" s="1"/>
      <c r="E307" s="1">
        <v>180.7076923076923</v>
      </c>
    </row>
    <row r="308" ht="15.75" customHeight="1">
      <c r="A308" s="1" t="s">
        <v>490</v>
      </c>
      <c r="B308" s="8">
        <v>184.1406923076923</v>
      </c>
      <c r="D308" s="1"/>
      <c r="E308" s="1">
        <v>215.36923076923077</v>
      </c>
    </row>
    <row r="309" ht="15.75" customHeight="1">
      <c r="A309" s="1" t="s">
        <v>491</v>
      </c>
      <c r="B309" s="8">
        <v>154.80761538461536</v>
      </c>
      <c r="D309" s="1"/>
      <c r="E309" s="1">
        <v>181.06153846153845</v>
      </c>
    </row>
    <row r="310" ht="15.75" customHeight="1">
      <c r="A310" s="1" t="s">
        <v>492</v>
      </c>
      <c r="B310" s="8">
        <v>97.02276923076923</v>
      </c>
      <c r="D310" s="1"/>
      <c r="E310" s="1">
        <v>113.47692307692309</v>
      </c>
    </row>
    <row r="311" ht="15.75" customHeight="1">
      <c r="A311" s="1" t="s">
        <v>493</v>
      </c>
      <c r="B311" s="8">
        <v>143.54792307692304</v>
      </c>
      <c r="D311" s="1"/>
      <c r="E311" s="1">
        <v>167.89230769230767</v>
      </c>
    </row>
    <row r="312" ht="15.75" customHeight="1">
      <c r="A312" s="1" t="s">
        <v>494</v>
      </c>
      <c r="B312" s="8">
        <v>142.24569230769228</v>
      </c>
      <c r="D312" s="1"/>
      <c r="E312" s="1">
        <v>166.36923076923077</v>
      </c>
    </row>
    <row r="313" ht="15.75" customHeight="1">
      <c r="A313" s="1" t="s">
        <v>495</v>
      </c>
      <c r="B313" s="8">
        <v>164.23892307692304</v>
      </c>
      <c r="D313" s="1"/>
      <c r="E313" s="1">
        <v>192.09230769230768</v>
      </c>
    </row>
    <row r="314" ht="15.75" customHeight="1">
      <c r="A314" s="1" t="s">
        <v>496</v>
      </c>
      <c r="B314" s="8">
        <v>177.39276923076923</v>
      </c>
      <c r="D314" s="1"/>
      <c r="E314" s="1">
        <v>207.4769230769231</v>
      </c>
    </row>
    <row r="315" ht="15.75" customHeight="1">
      <c r="A315" s="1" t="s">
        <v>497</v>
      </c>
      <c r="B315" s="8">
        <v>135.3530769230769</v>
      </c>
      <c r="D315" s="1"/>
      <c r="E315" s="1">
        <v>158.30769230769232</v>
      </c>
    </row>
    <row r="316" ht="15.75" customHeight="1">
      <c r="A316" s="1" t="s">
        <v>498</v>
      </c>
      <c r="B316" s="8">
        <v>168.6191538461538</v>
      </c>
      <c r="D316" s="1"/>
      <c r="E316" s="1">
        <v>197.2153846153846</v>
      </c>
    </row>
    <row r="317" ht="15.75" customHeight="1">
      <c r="A317" s="1" t="s">
        <v>499</v>
      </c>
      <c r="B317" s="8">
        <v>206.21284615384613</v>
      </c>
      <c r="D317" s="1"/>
      <c r="E317" s="1">
        <v>241.1846153846154</v>
      </c>
    </row>
    <row r="318" ht="15.75" customHeight="1">
      <c r="A318" s="1" t="s">
        <v>500</v>
      </c>
      <c r="B318" s="8">
        <v>169.2505384615384</v>
      </c>
      <c r="D318" s="1"/>
      <c r="E318" s="1">
        <v>197.95384615384611</v>
      </c>
    </row>
    <row r="319" ht="15.75" customHeight="1">
      <c r="A319" s="1" t="s">
        <v>501</v>
      </c>
      <c r="B319" s="8">
        <v>280.16376923076916</v>
      </c>
      <c r="D319" s="1"/>
      <c r="E319" s="1">
        <v>327.67692307692306</v>
      </c>
    </row>
    <row r="320" ht="15.75" customHeight="1">
      <c r="A320" s="1" t="s">
        <v>502</v>
      </c>
      <c r="B320" s="8">
        <v>128.5130769230769</v>
      </c>
      <c r="D320" s="1"/>
      <c r="E320" s="1">
        <v>150.30769230769232</v>
      </c>
    </row>
    <row r="321" ht="15.75" customHeight="1">
      <c r="A321" s="1" t="s">
        <v>503</v>
      </c>
      <c r="B321" s="8">
        <v>206.21284615384613</v>
      </c>
      <c r="D321" s="1"/>
      <c r="E321" s="1">
        <v>241.1846153846154</v>
      </c>
    </row>
    <row r="322" ht="15.75" customHeight="1">
      <c r="A322" s="1" t="s">
        <v>504</v>
      </c>
      <c r="B322" s="8">
        <v>71.92523076923075</v>
      </c>
      <c r="D322" s="1"/>
      <c r="E322" s="1">
        <v>84.12307692307692</v>
      </c>
    </row>
    <row r="323" ht="15.75" customHeight="1">
      <c r="A323" s="1" t="s">
        <v>505</v>
      </c>
      <c r="B323" s="8">
        <v>153.38699999999997</v>
      </c>
      <c r="D323" s="1"/>
      <c r="E323" s="1">
        <v>179.4</v>
      </c>
    </row>
    <row r="324" ht="15.75" customHeight="1">
      <c r="A324" s="1" t="s">
        <v>506</v>
      </c>
      <c r="B324" s="8">
        <v>168.43499999999997</v>
      </c>
      <c r="D324" s="1"/>
      <c r="E324" s="1">
        <v>197.0</v>
      </c>
    </row>
    <row r="325" ht="15.75" customHeight="1">
      <c r="A325" s="1" t="s">
        <v>507</v>
      </c>
      <c r="B325" s="8">
        <v>63.23053846153846</v>
      </c>
      <c r="D325" s="1"/>
      <c r="E325" s="1">
        <v>73.95384615384616</v>
      </c>
    </row>
    <row r="326" ht="15.75" customHeight="1">
      <c r="A326" s="1" t="s">
        <v>508</v>
      </c>
      <c r="B326" s="8">
        <v>118.84499999999998</v>
      </c>
      <c r="D326" s="1"/>
      <c r="E326" s="1">
        <v>139.0</v>
      </c>
    </row>
    <row r="327" ht="15.75" customHeight="1">
      <c r="A327" s="1" t="s">
        <v>509</v>
      </c>
      <c r="B327" s="8">
        <v>120.25246153846152</v>
      </c>
      <c r="D327" s="1"/>
      <c r="E327" s="1">
        <v>140.64615384615385</v>
      </c>
    </row>
    <row r="328" ht="15.75" customHeight="1">
      <c r="A328" s="1" t="s">
        <v>510</v>
      </c>
      <c r="B328" s="8">
        <v>169.47415384615383</v>
      </c>
      <c r="D328" s="1"/>
      <c r="E328" s="1">
        <v>198.2153846153846</v>
      </c>
    </row>
    <row r="329" ht="15.75" customHeight="1">
      <c r="A329" s="1" t="s">
        <v>511</v>
      </c>
      <c r="B329" s="8">
        <v>111.47884615384613</v>
      </c>
      <c r="D329" s="1"/>
      <c r="E329" s="1">
        <v>130.3846153846154</v>
      </c>
    </row>
    <row r="330" ht="15.75" customHeight="1">
      <c r="A330" s="1" t="s">
        <v>512</v>
      </c>
      <c r="B330" s="8">
        <v>307.1554615384615</v>
      </c>
      <c r="D330" s="1"/>
      <c r="E330" s="1">
        <v>359.24615384615385</v>
      </c>
    </row>
    <row r="331" ht="15.75" customHeight="1">
      <c r="A331" s="1" t="s">
        <v>513</v>
      </c>
      <c r="B331" s="8">
        <v>69.67592307692307</v>
      </c>
      <c r="D331" s="1"/>
      <c r="E331" s="1">
        <v>81.49230769230769</v>
      </c>
    </row>
    <row r="332" ht="15.75" customHeight="1">
      <c r="A332" s="1" t="s">
        <v>514</v>
      </c>
      <c r="B332" s="8">
        <v>167.44846153846152</v>
      </c>
      <c r="D332" s="1"/>
      <c r="E332" s="1">
        <v>195.84615384615384</v>
      </c>
    </row>
    <row r="333" ht="15.75" customHeight="1">
      <c r="A333" s="1" t="s">
        <v>515</v>
      </c>
      <c r="B333" s="8">
        <v>119.23961538461536</v>
      </c>
      <c r="D333" s="1"/>
      <c r="E333" s="1">
        <v>139.46153846153845</v>
      </c>
    </row>
    <row r="334" ht="15.75" customHeight="1">
      <c r="A334" s="1" t="s">
        <v>516</v>
      </c>
      <c r="B334" s="8">
        <v>250.764923076923</v>
      </c>
      <c r="D334" s="1"/>
      <c r="E334" s="1">
        <v>293.29230769230765</v>
      </c>
    </row>
    <row r="335" ht="15.75" customHeight="1">
      <c r="A335" s="1" t="s">
        <v>517</v>
      </c>
      <c r="B335" s="8">
        <v>258.8808461538461</v>
      </c>
      <c r="D335" s="1"/>
      <c r="E335" s="1">
        <v>302.7846153846154</v>
      </c>
    </row>
    <row r="336" ht="15.75" customHeight="1">
      <c r="A336" s="1" t="s">
        <v>518</v>
      </c>
      <c r="B336" s="8">
        <v>141.7195384615384</v>
      </c>
      <c r="D336" s="1"/>
      <c r="E336" s="1">
        <v>165.75384615384613</v>
      </c>
    </row>
    <row r="337" ht="15.75" customHeight="1">
      <c r="A337" s="1" t="s">
        <v>519</v>
      </c>
      <c r="B337" s="8">
        <v>166.55399999999997</v>
      </c>
      <c r="D337" s="1"/>
      <c r="E337" s="1">
        <v>194.8</v>
      </c>
    </row>
    <row r="338" ht="15.75" customHeight="1">
      <c r="A338" s="1" t="s">
        <v>520</v>
      </c>
      <c r="B338" s="8">
        <v>94.19469230769229</v>
      </c>
      <c r="D338" s="1"/>
      <c r="E338" s="1">
        <v>110.16923076923077</v>
      </c>
    </row>
    <row r="339" ht="15.75" customHeight="1">
      <c r="A339" s="1" t="s">
        <v>521</v>
      </c>
      <c r="B339" s="8">
        <v>115.89853846153844</v>
      </c>
      <c r="D339" s="1"/>
      <c r="E339" s="1">
        <v>135.55384615384614</v>
      </c>
    </row>
    <row r="340" ht="15.75" customHeight="1">
      <c r="A340" s="1" t="s">
        <v>522</v>
      </c>
      <c r="B340" s="8">
        <v>178.3924615384615</v>
      </c>
      <c r="D340" s="1"/>
      <c r="E340" s="1">
        <v>208.64615384615385</v>
      </c>
    </row>
    <row r="341" ht="15.75" customHeight="1">
      <c r="A341" s="1" t="s">
        <v>523</v>
      </c>
      <c r="B341" s="8">
        <v>184.48269230769228</v>
      </c>
      <c r="D341" s="1"/>
      <c r="E341" s="1">
        <v>215.76923076923077</v>
      </c>
    </row>
    <row r="342" ht="15.75" customHeight="1">
      <c r="A342" s="1" t="s">
        <v>524</v>
      </c>
      <c r="B342" s="8">
        <v>106.29623076923076</v>
      </c>
      <c r="D342" s="1"/>
      <c r="E342" s="1">
        <v>124.32307692307693</v>
      </c>
    </row>
    <row r="343" ht="15.75" customHeight="1">
      <c r="A343" s="1" t="s">
        <v>525</v>
      </c>
      <c r="B343" s="8">
        <v>70.64930769230769</v>
      </c>
      <c r="D343" s="1"/>
      <c r="E343" s="1">
        <v>82.63076923076923</v>
      </c>
    </row>
    <row r="344" ht="15.75" customHeight="1">
      <c r="A344" s="1" t="s">
        <v>526</v>
      </c>
      <c r="B344" s="8">
        <v>97.46999999999997</v>
      </c>
      <c r="D344" s="1"/>
      <c r="E344" s="1">
        <v>113.99999999999999</v>
      </c>
    </row>
    <row r="345" ht="15.75" customHeight="1">
      <c r="A345" s="1" t="s">
        <v>527</v>
      </c>
      <c r="B345" s="8">
        <v>113.18884615384614</v>
      </c>
      <c r="D345" s="1"/>
      <c r="E345" s="1">
        <v>132.3846153846154</v>
      </c>
    </row>
    <row r="346" ht="15.75" customHeight="1">
      <c r="A346" s="1" t="s">
        <v>528</v>
      </c>
      <c r="B346" s="8">
        <v>97.53576923076922</v>
      </c>
      <c r="D346" s="1"/>
      <c r="E346" s="1">
        <v>114.07692307692308</v>
      </c>
    </row>
    <row r="347" ht="15.75" customHeight="1">
      <c r="A347" s="1" t="s">
        <v>529</v>
      </c>
      <c r="B347" s="8">
        <v>97.46999999999997</v>
      </c>
      <c r="D347" s="1"/>
      <c r="E347" s="1">
        <v>113.99999999999999</v>
      </c>
    </row>
    <row r="348" ht="15.75" customHeight="1">
      <c r="A348" s="1" t="s">
        <v>530</v>
      </c>
      <c r="B348" s="8">
        <v>95.1680769230769</v>
      </c>
      <c r="D348" s="1"/>
      <c r="E348" s="1">
        <v>111.30769230769229</v>
      </c>
    </row>
    <row r="349" ht="15.75" customHeight="1">
      <c r="A349" s="1" t="s">
        <v>531</v>
      </c>
      <c r="B349" s="8">
        <v>42.210692307692305</v>
      </c>
      <c r="D349" s="1"/>
      <c r="E349" s="1">
        <v>49.369230769230775</v>
      </c>
    </row>
    <row r="350" ht="15.75" customHeight="1">
      <c r="A350" s="1" t="s">
        <v>532</v>
      </c>
      <c r="B350" s="8">
        <v>73.29323076923075</v>
      </c>
      <c r="D350" s="1"/>
      <c r="E350" s="1">
        <v>85.72307692307692</v>
      </c>
    </row>
    <row r="351" ht="15.75" customHeight="1">
      <c r="A351" s="1" t="s">
        <v>533</v>
      </c>
      <c r="B351" s="8">
        <v>76.84476923076922</v>
      </c>
      <c r="D351" s="1"/>
      <c r="E351" s="1">
        <v>89.87692307692308</v>
      </c>
    </row>
    <row r="352" ht="15.75" customHeight="1">
      <c r="A352" s="1" t="s">
        <v>534</v>
      </c>
      <c r="B352" s="8">
        <v>89.94599999999998</v>
      </c>
      <c r="D352" s="1"/>
      <c r="E352" s="1">
        <v>105.19999999999999</v>
      </c>
    </row>
    <row r="353" ht="15.75" customHeight="1">
      <c r="A353" s="1" t="s">
        <v>535</v>
      </c>
      <c r="B353" s="8">
        <v>97.46999999999997</v>
      </c>
      <c r="D353" s="1"/>
      <c r="E353" s="1">
        <v>113.99999999999999</v>
      </c>
    </row>
    <row r="354" ht="15.75" customHeight="1">
      <c r="A354" s="1" t="s">
        <v>536</v>
      </c>
      <c r="B354" s="8">
        <v>86.39446153846153</v>
      </c>
      <c r="D354" s="1"/>
      <c r="E354" s="1">
        <v>101.04615384615386</v>
      </c>
    </row>
    <row r="355" ht="15.75" customHeight="1">
      <c r="A355" s="1" t="s">
        <v>537</v>
      </c>
      <c r="B355" s="8">
        <v>97.46999999999997</v>
      </c>
      <c r="D355" s="1"/>
      <c r="E355" s="1">
        <v>113.99999999999999</v>
      </c>
    </row>
    <row r="356" ht="15.75" customHeight="1">
      <c r="A356" s="1" t="s">
        <v>538</v>
      </c>
      <c r="B356" s="8">
        <v>101.91599999999998</v>
      </c>
      <c r="D356" s="1"/>
      <c r="E356" s="1">
        <v>119.2</v>
      </c>
    </row>
    <row r="357" ht="15.75" customHeight="1">
      <c r="A357" s="1" t="s">
        <v>539</v>
      </c>
      <c r="B357" s="8">
        <v>102.48161538461537</v>
      </c>
      <c r="D357" s="1"/>
      <c r="E357" s="1">
        <v>119.86153846153846</v>
      </c>
    </row>
    <row r="358" ht="15.75" customHeight="1">
      <c r="A358" s="1" t="s">
        <v>540</v>
      </c>
      <c r="B358" s="8">
        <v>133.24846153846153</v>
      </c>
      <c r="D358" s="1"/>
      <c r="E358" s="1">
        <v>155.84615384615384</v>
      </c>
    </row>
    <row r="359" ht="15.75" customHeight="1">
      <c r="A359" s="1" t="s">
        <v>541</v>
      </c>
      <c r="B359" s="8">
        <v>72.39876923076922</v>
      </c>
      <c r="D359" s="1"/>
      <c r="E359" s="1">
        <v>84.67692307692307</v>
      </c>
    </row>
    <row r="360" ht="15.75" customHeight="1">
      <c r="A360" s="1" t="s">
        <v>542</v>
      </c>
      <c r="B360" s="8">
        <v>94.6550769230769</v>
      </c>
      <c r="D360" s="1"/>
      <c r="E360" s="1">
        <v>110.7076923076923</v>
      </c>
    </row>
    <row r="361" ht="15.75" customHeight="1">
      <c r="A361" s="1" t="s">
        <v>543</v>
      </c>
      <c r="B361" s="8">
        <v>105.27023076923075</v>
      </c>
      <c r="D361" s="1"/>
      <c r="E361" s="1">
        <v>123.12307692307692</v>
      </c>
    </row>
    <row r="362" ht="15.75" customHeight="1">
      <c r="A362" s="1" t="s">
        <v>544</v>
      </c>
      <c r="B362" s="8">
        <v>66.91361538461537</v>
      </c>
      <c r="D362" s="1"/>
      <c r="E362" s="1">
        <v>78.26153846153845</v>
      </c>
    </row>
    <row r="363" ht="15.75" customHeight="1">
      <c r="A363" s="1" t="s">
        <v>545</v>
      </c>
      <c r="B363" s="8">
        <v>76.84476923076922</v>
      </c>
      <c r="D363" s="1"/>
      <c r="E363" s="1">
        <v>89.87692307692308</v>
      </c>
    </row>
    <row r="364" ht="15.75" customHeight="1">
      <c r="A364" s="1" t="s">
        <v>546</v>
      </c>
      <c r="B364" s="8">
        <v>156.42553846153842</v>
      </c>
      <c r="D364" s="1"/>
      <c r="E364" s="1">
        <v>182.95384615384614</v>
      </c>
    </row>
    <row r="365" ht="15.75" customHeight="1">
      <c r="A365" s="1" t="s">
        <v>547</v>
      </c>
      <c r="B365" s="8">
        <v>249.17330769230765</v>
      </c>
      <c r="D365" s="1"/>
      <c r="E365" s="1">
        <v>291.4307692307692</v>
      </c>
    </row>
    <row r="366" ht="15.75" customHeight="1">
      <c r="A366" s="1" t="s">
        <v>548</v>
      </c>
      <c r="B366" s="8">
        <v>66.12438461538461</v>
      </c>
      <c r="D366" s="1"/>
      <c r="E366" s="1">
        <v>77.33846153846154</v>
      </c>
    </row>
    <row r="367" ht="15.75" customHeight="1">
      <c r="A367" s="1" t="s">
        <v>549</v>
      </c>
      <c r="B367" s="8">
        <v>74.12192307692307</v>
      </c>
      <c r="D367" s="1"/>
      <c r="E367" s="1">
        <v>86.6923076923077</v>
      </c>
    </row>
    <row r="368" ht="15.75" customHeight="1">
      <c r="A368" s="1" t="s">
        <v>550</v>
      </c>
      <c r="B368" s="8">
        <v>112.9783846153846</v>
      </c>
      <c r="D368" s="1"/>
      <c r="E368" s="1">
        <v>132.13846153846154</v>
      </c>
    </row>
    <row r="369" ht="15.75" customHeight="1">
      <c r="A369" s="1" t="s">
        <v>551</v>
      </c>
      <c r="B369" s="8">
        <v>163.10769230769228</v>
      </c>
      <c r="D369" s="1"/>
      <c r="E369" s="1">
        <v>190.76923076923077</v>
      </c>
    </row>
    <row r="370" ht="15.75" customHeight="1">
      <c r="A370" s="1" t="s">
        <v>552</v>
      </c>
      <c r="B370" s="8">
        <v>156.42553846153842</v>
      </c>
      <c r="D370" s="1"/>
      <c r="E370" s="1">
        <v>182.95384615384614</v>
      </c>
    </row>
    <row r="371" ht="15.75" customHeight="1">
      <c r="A371" s="1" t="s">
        <v>553</v>
      </c>
      <c r="B371" s="8">
        <v>135.53723076923075</v>
      </c>
      <c r="D371" s="1"/>
      <c r="E371" s="1">
        <v>158.52307692307693</v>
      </c>
    </row>
    <row r="372" ht="15.75" customHeight="1">
      <c r="A372" s="1" t="s">
        <v>554</v>
      </c>
      <c r="B372" s="8">
        <v>167.69838461538455</v>
      </c>
      <c r="D372" s="1"/>
      <c r="E372" s="1">
        <v>196.1384615384615</v>
      </c>
    </row>
    <row r="373" ht="15.75" customHeight="1">
      <c r="A373" s="1" t="s">
        <v>555</v>
      </c>
      <c r="B373" s="8">
        <v>204.3844615384615</v>
      </c>
      <c r="D373" s="1"/>
      <c r="E373" s="1">
        <v>239.04615384615383</v>
      </c>
    </row>
    <row r="374" ht="15.75" customHeight="1">
      <c r="A374" s="1" t="s">
        <v>556</v>
      </c>
      <c r="B374" s="8">
        <v>213.36853846153844</v>
      </c>
      <c r="D374" s="1"/>
      <c r="E374" s="1">
        <v>249.55384615384617</v>
      </c>
    </row>
    <row r="375" ht="15.75" customHeight="1">
      <c r="A375" s="1" t="s">
        <v>557</v>
      </c>
      <c r="B375" s="8">
        <v>196.76838461538458</v>
      </c>
      <c r="D375" s="1"/>
      <c r="E375" s="1">
        <v>230.13846153846154</v>
      </c>
    </row>
    <row r="376" ht="15.75" customHeight="1">
      <c r="A376" s="1" t="s">
        <v>558</v>
      </c>
      <c r="B376" s="8">
        <v>165.46223076923076</v>
      </c>
      <c r="D376" s="1"/>
      <c r="E376" s="1">
        <v>193.52307692307693</v>
      </c>
    </row>
    <row r="377" ht="15.75" customHeight="1">
      <c r="A377" s="1" t="s">
        <v>559</v>
      </c>
      <c r="B377" s="8">
        <v>236.88761538461537</v>
      </c>
      <c r="D377" s="1"/>
      <c r="E377" s="1">
        <v>277.0615384615385</v>
      </c>
    </row>
    <row r="378" ht="15.75" customHeight="1">
      <c r="A378" s="1" t="s">
        <v>560</v>
      </c>
      <c r="B378" s="8">
        <v>91.24823076923076</v>
      </c>
      <c r="D378" s="1"/>
      <c r="E378" s="1">
        <v>106.72307692307693</v>
      </c>
    </row>
    <row r="379" ht="15.75" customHeight="1">
      <c r="A379" s="1" t="s">
        <v>561</v>
      </c>
      <c r="B379" s="8">
        <v>116.964</v>
      </c>
      <c r="D379" s="1"/>
      <c r="E379" s="1">
        <v>136.8</v>
      </c>
    </row>
    <row r="380" ht="15.75" customHeight="1">
      <c r="A380" s="1" t="s">
        <v>562</v>
      </c>
      <c r="B380" s="8">
        <v>124.08023076923075</v>
      </c>
      <c r="D380" s="1"/>
      <c r="E380" s="1">
        <v>145.12307692307692</v>
      </c>
    </row>
    <row r="381" ht="15.75" customHeight="1">
      <c r="A381" s="1" t="s">
        <v>563</v>
      </c>
      <c r="B381" s="8">
        <v>186.7451538461538</v>
      </c>
      <c r="D381" s="1"/>
      <c r="E381" s="1">
        <v>218.4153846153846</v>
      </c>
    </row>
    <row r="382" ht="15.75" customHeight="1">
      <c r="A382" s="1" t="s">
        <v>564</v>
      </c>
      <c r="B382" s="8">
        <v>179.62892307692303</v>
      </c>
      <c r="D382" s="1"/>
      <c r="E382" s="1">
        <v>210.09230769230768</v>
      </c>
    </row>
    <row r="383" ht="15.75" customHeight="1">
      <c r="A383" s="1" t="s">
        <v>565</v>
      </c>
      <c r="B383" s="8">
        <v>174.20953846153844</v>
      </c>
      <c r="D383" s="1"/>
      <c r="E383" s="1">
        <v>203.75384615384615</v>
      </c>
    </row>
    <row r="384" ht="15.75" customHeight="1">
      <c r="A384" s="1" t="s">
        <v>566</v>
      </c>
      <c r="B384" s="8">
        <v>211.80323076923074</v>
      </c>
      <c r="D384" s="1"/>
      <c r="E384" s="1">
        <v>247.72307692307692</v>
      </c>
    </row>
    <row r="385" ht="15.75" customHeight="1">
      <c r="A385" s="1" t="s">
        <v>567</v>
      </c>
      <c r="B385" s="8">
        <v>236.88761538461537</v>
      </c>
      <c r="D385" s="1"/>
      <c r="E385" s="1">
        <v>277.0615384615385</v>
      </c>
    </row>
    <row r="386" ht="15.75" customHeight="1">
      <c r="A386" s="1" t="s">
        <v>568</v>
      </c>
      <c r="B386" s="8">
        <v>151.65069230769228</v>
      </c>
      <c r="D386" s="1"/>
      <c r="E386" s="1">
        <v>177.36923076923077</v>
      </c>
    </row>
    <row r="387" ht="15.75" customHeight="1">
      <c r="A387" s="1" t="s">
        <v>569</v>
      </c>
      <c r="B387" s="8">
        <v>211.1718461538461</v>
      </c>
      <c r="D387" s="1"/>
      <c r="E387" s="1">
        <v>246.98461538461535</v>
      </c>
    </row>
    <row r="388" ht="15.75" customHeight="1">
      <c r="A388" s="1" t="s">
        <v>570</v>
      </c>
      <c r="B388" s="8">
        <v>180.9048461538461</v>
      </c>
      <c r="D388" s="1"/>
      <c r="E388" s="1">
        <v>211.58461538461538</v>
      </c>
    </row>
    <row r="389" ht="15.75" customHeight="1">
      <c r="A389" s="1" t="s">
        <v>571</v>
      </c>
      <c r="B389" s="8">
        <v>104.19161538461536</v>
      </c>
      <c r="D389" s="1"/>
      <c r="E389" s="1">
        <v>121.86153846153844</v>
      </c>
    </row>
    <row r="390" ht="15.75" customHeight="1">
      <c r="A390" s="1" t="s">
        <v>572</v>
      </c>
      <c r="B390" s="8">
        <v>124.35646153846153</v>
      </c>
      <c r="D390" s="1"/>
      <c r="E390" s="1">
        <v>145.44615384615386</v>
      </c>
    </row>
    <row r="391" ht="15.75" customHeight="1">
      <c r="A391" s="1" t="s">
        <v>573</v>
      </c>
      <c r="B391" s="8">
        <v>76.83161538461538</v>
      </c>
      <c r="D391" s="1"/>
      <c r="E391" s="1">
        <v>89.86153846153846</v>
      </c>
    </row>
    <row r="392" ht="15.75" customHeight="1">
      <c r="A392" s="1" t="s">
        <v>574</v>
      </c>
      <c r="B392" s="8">
        <v>29.096307692307686</v>
      </c>
      <c r="D392" s="1"/>
      <c r="E392" s="1">
        <v>34.03076923076923</v>
      </c>
    </row>
    <row r="393" ht="15.75" customHeight="1">
      <c r="A393" s="1" t="s">
        <v>575</v>
      </c>
      <c r="B393" s="8">
        <v>71.93838461538459</v>
      </c>
      <c r="D393" s="1"/>
      <c r="E393" s="1">
        <v>84.13846153846153</v>
      </c>
    </row>
    <row r="394" ht="15.75" customHeight="1">
      <c r="A394" s="1" t="s">
        <v>576</v>
      </c>
      <c r="B394" s="8">
        <v>33.52915384615384</v>
      </c>
      <c r="D394" s="1"/>
      <c r="E394" s="1">
        <v>39.215384615384615</v>
      </c>
    </row>
    <row r="395" ht="15.75" customHeight="1">
      <c r="A395" s="1" t="s">
        <v>577</v>
      </c>
      <c r="B395" s="8">
        <v>23.54538461538461</v>
      </c>
      <c r="D395" s="1"/>
      <c r="E395" s="1">
        <v>27.538461538461537</v>
      </c>
    </row>
    <row r="396" ht="15.75" customHeight="1">
      <c r="A396" s="1" t="s">
        <v>578</v>
      </c>
      <c r="B396" s="8">
        <v>49.86623076923076</v>
      </c>
      <c r="D396" s="1"/>
      <c r="E396" s="1">
        <v>58.32307692307692</v>
      </c>
    </row>
    <row r="397" ht="15.75" customHeight="1">
      <c r="A397" s="1" t="s">
        <v>579</v>
      </c>
      <c r="B397" s="8">
        <v>67.16353846153845</v>
      </c>
      <c r="D397" s="1"/>
      <c r="E397" s="1">
        <v>78.55384615384615</v>
      </c>
    </row>
    <row r="398" ht="15.75" customHeight="1">
      <c r="A398" s="1" t="s">
        <v>580</v>
      </c>
      <c r="B398" s="8">
        <v>41.21099999999999</v>
      </c>
      <c r="D398" s="1"/>
      <c r="E398" s="1">
        <v>48.199999999999996</v>
      </c>
    </row>
    <row r="399" ht="15.75" customHeight="1">
      <c r="A399" s="1" t="s">
        <v>581</v>
      </c>
      <c r="B399" s="8">
        <v>66.12438461538461</v>
      </c>
      <c r="D399" s="1"/>
      <c r="E399" s="1">
        <v>77.33846153846154</v>
      </c>
    </row>
    <row r="400" ht="15.75" customHeight="1">
      <c r="A400" s="1" t="s">
        <v>582</v>
      </c>
      <c r="B400" s="8">
        <v>26.518153846153844</v>
      </c>
      <c r="D400" s="1"/>
      <c r="E400" s="1">
        <v>31.015384615384615</v>
      </c>
    </row>
    <row r="401" ht="15.75" customHeight="1">
      <c r="A401" s="1" t="s">
        <v>583</v>
      </c>
      <c r="B401" s="8">
        <v>23.54538461538461</v>
      </c>
      <c r="D401" s="1"/>
      <c r="E401" s="1">
        <v>27.538461538461537</v>
      </c>
    </row>
    <row r="402" ht="15.75" customHeight="1">
      <c r="A402" s="1" t="s">
        <v>584</v>
      </c>
      <c r="B402" s="8">
        <v>78.02861538461538</v>
      </c>
      <c r="D402" s="1"/>
      <c r="E402" s="1">
        <v>91.26153846153846</v>
      </c>
    </row>
    <row r="403" ht="15.75" customHeight="1">
      <c r="A403" s="1" t="s">
        <v>585</v>
      </c>
      <c r="B403" s="8">
        <v>95.12861538461536</v>
      </c>
      <c r="D403" s="1"/>
      <c r="E403" s="1">
        <v>111.26153846153845</v>
      </c>
    </row>
    <row r="404" ht="15.75" customHeight="1">
      <c r="A404" s="1" t="s">
        <v>586</v>
      </c>
      <c r="B404" s="8">
        <v>100.14023076923074</v>
      </c>
      <c r="D404" s="1"/>
      <c r="E404" s="1">
        <v>117.12307692307691</v>
      </c>
    </row>
    <row r="405" ht="15.75" customHeight="1">
      <c r="A405" s="1" t="s">
        <v>587</v>
      </c>
      <c r="B405" s="8">
        <v>78.39692307692306</v>
      </c>
      <c r="D405" s="1"/>
      <c r="E405" s="1">
        <v>91.6923076923077</v>
      </c>
    </row>
    <row r="406" ht="15.75" customHeight="1">
      <c r="A406" s="1" t="s">
        <v>588</v>
      </c>
      <c r="B406" s="8">
        <v>67.54499999999999</v>
      </c>
      <c r="D406" s="1"/>
      <c r="E406" s="1">
        <v>79.0</v>
      </c>
    </row>
    <row r="407" ht="15.75" customHeight="1">
      <c r="A407" s="1" t="s">
        <v>589</v>
      </c>
      <c r="B407" s="8">
        <v>49.99776923076922</v>
      </c>
      <c r="D407" s="1"/>
      <c r="E407" s="1">
        <v>58.47692307692307</v>
      </c>
    </row>
    <row r="408" ht="15.75" customHeight="1">
      <c r="A408" s="1" t="s">
        <v>590</v>
      </c>
      <c r="B408" s="8">
        <v>70.50461538461538</v>
      </c>
      <c r="D408" s="1"/>
      <c r="E408" s="1">
        <v>82.46153846153847</v>
      </c>
    </row>
    <row r="409" ht="15.75" customHeight="1">
      <c r="A409" s="1" t="s">
        <v>591</v>
      </c>
      <c r="B409" s="8">
        <v>91.9716923076923</v>
      </c>
      <c r="D409" s="1"/>
      <c r="E409" s="1">
        <v>107.56923076923077</v>
      </c>
    </row>
    <row r="410" ht="15.75" customHeight="1">
      <c r="A410" s="1" t="s">
        <v>592</v>
      </c>
      <c r="B410" s="8">
        <v>57.521769230769216</v>
      </c>
      <c r="D410" s="1"/>
      <c r="E410" s="1">
        <v>67.27692307692307</v>
      </c>
    </row>
    <row r="411" ht="15.75" customHeight="1">
      <c r="A411" s="1" t="s">
        <v>593</v>
      </c>
      <c r="B411" s="8">
        <v>53.4703846153846</v>
      </c>
      <c r="D411" s="1"/>
      <c r="E411" s="1">
        <v>62.53846153846153</v>
      </c>
    </row>
    <row r="412" ht="15.75" customHeight="1">
      <c r="A412" s="1" t="s">
        <v>594</v>
      </c>
      <c r="B412" s="8">
        <v>70.50461538461538</v>
      </c>
      <c r="D412" s="1"/>
      <c r="E412" s="1">
        <v>82.46153846153847</v>
      </c>
    </row>
    <row r="413" ht="15.75" customHeight="1">
      <c r="A413" s="1" t="s">
        <v>595</v>
      </c>
      <c r="B413" s="8">
        <v>98.37761538461537</v>
      </c>
      <c r="D413" s="1"/>
      <c r="E413" s="1">
        <v>115.06153846153846</v>
      </c>
    </row>
    <row r="414" ht="15.75" customHeight="1">
      <c r="A414" s="1" t="s">
        <v>596</v>
      </c>
      <c r="B414" s="8">
        <v>82.72453846153844</v>
      </c>
      <c r="D414" s="1"/>
      <c r="E414" s="1">
        <v>96.75384615384615</v>
      </c>
    </row>
    <row r="415" ht="15.75" customHeight="1">
      <c r="A415" s="1" t="s">
        <v>597</v>
      </c>
      <c r="B415" s="8">
        <v>97.46999999999997</v>
      </c>
      <c r="D415" s="1"/>
      <c r="E415" s="1">
        <v>113.99999999999999</v>
      </c>
    </row>
    <row r="416" ht="15.75" customHeight="1">
      <c r="A416" s="1" t="s">
        <v>598</v>
      </c>
      <c r="B416" s="8">
        <v>45.63069230769229</v>
      </c>
      <c r="D416" s="1"/>
      <c r="E416" s="1">
        <v>53.36923076923076</v>
      </c>
    </row>
    <row r="417" ht="15.75" customHeight="1">
      <c r="A417" s="1" t="s">
        <v>599</v>
      </c>
      <c r="B417" s="8">
        <v>58.482</v>
      </c>
      <c r="D417" s="1"/>
      <c r="E417" s="1">
        <v>68.4</v>
      </c>
    </row>
    <row r="418" ht="15.75" customHeight="1">
      <c r="A418" s="1" t="s">
        <v>600</v>
      </c>
      <c r="B418" s="8">
        <v>62.03353846153845</v>
      </c>
      <c r="D418" s="1"/>
      <c r="E418" s="1">
        <v>72.55384615384615</v>
      </c>
    </row>
    <row r="419" ht="15.75" customHeight="1">
      <c r="A419" s="1" t="s">
        <v>601</v>
      </c>
      <c r="B419" s="8">
        <v>93.36599999999999</v>
      </c>
      <c r="D419" s="1"/>
      <c r="E419" s="1">
        <v>109.2</v>
      </c>
    </row>
    <row r="420" ht="15.75" customHeight="1">
      <c r="A420" s="1" t="s">
        <v>602</v>
      </c>
      <c r="B420" s="8">
        <v>89.81446153846152</v>
      </c>
      <c r="D420" s="1"/>
      <c r="E420" s="1">
        <v>105.04615384615384</v>
      </c>
    </row>
    <row r="421" ht="15.75" customHeight="1">
      <c r="A421" s="1" t="s">
        <v>603</v>
      </c>
      <c r="B421" s="8">
        <v>87.10476923076922</v>
      </c>
      <c r="D421" s="1"/>
      <c r="E421" s="1">
        <v>101.87692307692308</v>
      </c>
    </row>
    <row r="422" ht="15.75" customHeight="1">
      <c r="A422" s="1" t="s">
        <v>604</v>
      </c>
      <c r="B422" s="8">
        <v>105.90161538461537</v>
      </c>
      <c r="D422" s="1"/>
      <c r="E422" s="1">
        <v>123.86153846153846</v>
      </c>
    </row>
    <row r="423" ht="15.75" customHeight="1">
      <c r="A423" s="1" t="s">
        <v>605</v>
      </c>
      <c r="B423" s="8">
        <v>118.43723076923075</v>
      </c>
      <c r="D423" s="1"/>
      <c r="E423" s="1">
        <v>138.52307692307693</v>
      </c>
    </row>
    <row r="424" ht="15.75" customHeight="1">
      <c r="A424" s="1" t="s">
        <v>606</v>
      </c>
      <c r="B424" s="8">
        <v>75.81876923076922</v>
      </c>
      <c r="D424" s="1"/>
      <c r="E424" s="1">
        <v>88.67692307692307</v>
      </c>
    </row>
    <row r="425" ht="15.75" customHeight="1">
      <c r="A425" s="1" t="s">
        <v>607</v>
      </c>
      <c r="B425" s="8">
        <v>105.58592307692305</v>
      </c>
      <c r="D425" s="1"/>
      <c r="E425" s="1">
        <v>123.49230769230768</v>
      </c>
    </row>
    <row r="426" ht="15.75" customHeight="1">
      <c r="A426" s="1" t="s">
        <v>608</v>
      </c>
      <c r="B426" s="8">
        <v>90.45899999999999</v>
      </c>
      <c r="D426" s="1"/>
      <c r="E426" s="1">
        <v>105.8</v>
      </c>
    </row>
    <row r="427" ht="15.75" customHeight="1">
      <c r="A427" s="1" t="s">
        <v>609</v>
      </c>
      <c r="B427" s="8">
        <v>52.10238461538461</v>
      </c>
      <c r="D427" s="1"/>
      <c r="E427" s="1">
        <v>60.93846153846154</v>
      </c>
    </row>
    <row r="428" ht="15.75" customHeight="1">
      <c r="A428" s="1" t="s">
        <v>610</v>
      </c>
      <c r="B428" s="8">
        <v>62.03353846153845</v>
      </c>
      <c r="D428" s="1"/>
      <c r="E428" s="1">
        <v>72.55384615384615</v>
      </c>
    </row>
    <row r="429" ht="15.75" customHeight="1">
      <c r="A429" s="1" t="s">
        <v>611</v>
      </c>
      <c r="B429" s="8">
        <v>197.21561538461538</v>
      </c>
      <c r="D429" s="1"/>
      <c r="E429" s="1">
        <v>230.66153846153847</v>
      </c>
    </row>
    <row r="430" ht="15.75" customHeight="1">
      <c r="A430" s="1" t="s">
        <v>612</v>
      </c>
      <c r="B430" s="8">
        <v>196.76838461538458</v>
      </c>
      <c r="D430" s="1"/>
      <c r="E430" s="1">
        <v>230.13846153846154</v>
      </c>
    </row>
    <row r="431" ht="15.75" customHeight="1">
      <c r="A431" s="1" t="s">
        <v>613</v>
      </c>
      <c r="B431" s="8">
        <v>165.46223076923076</v>
      </c>
      <c r="D431" s="1"/>
      <c r="E431" s="1">
        <v>193.52307692307693</v>
      </c>
    </row>
    <row r="432" ht="15.75" customHeight="1">
      <c r="A432" s="1" t="s">
        <v>614</v>
      </c>
      <c r="B432" s="8">
        <v>226.79861538461532</v>
      </c>
      <c r="D432" s="1"/>
      <c r="E432" s="1">
        <v>265.2615384615384</v>
      </c>
    </row>
    <row r="433" ht="15.75" customHeight="1">
      <c r="A433" s="1" t="s">
        <v>615</v>
      </c>
      <c r="B433" s="8">
        <v>91.24823076923076</v>
      </c>
      <c r="D433" s="1"/>
      <c r="E433" s="1">
        <v>106.72307692307693</v>
      </c>
    </row>
    <row r="434" ht="15.75" customHeight="1">
      <c r="A434" s="1" t="s">
        <v>616</v>
      </c>
      <c r="B434" s="8">
        <v>116.964</v>
      </c>
      <c r="D434" s="1"/>
      <c r="E434" s="1">
        <v>136.8</v>
      </c>
    </row>
    <row r="435" ht="15.75" customHeight="1">
      <c r="A435" s="1" t="s">
        <v>617</v>
      </c>
      <c r="B435" s="8">
        <v>124.08023076923075</v>
      </c>
      <c r="D435" s="1"/>
      <c r="E435" s="1">
        <v>145.12307692307692</v>
      </c>
    </row>
    <row r="436" ht="15.75" customHeight="1">
      <c r="A436" s="1" t="s">
        <v>618</v>
      </c>
      <c r="B436" s="8">
        <v>186.7451538461538</v>
      </c>
      <c r="D436" s="1"/>
      <c r="E436" s="1">
        <v>218.4153846153846</v>
      </c>
    </row>
    <row r="437" ht="15.75" customHeight="1">
      <c r="A437" s="1" t="s">
        <v>619</v>
      </c>
      <c r="B437" s="8">
        <v>231.4024615384615</v>
      </c>
      <c r="D437" s="1"/>
      <c r="E437" s="1">
        <v>270.6461538461538</v>
      </c>
    </row>
    <row r="438" ht="15.75" customHeight="1">
      <c r="A438" s="1" t="s">
        <v>620</v>
      </c>
      <c r="B438" s="8">
        <v>179.62892307692303</v>
      </c>
      <c r="D438" s="1"/>
      <c r="E438" s="1">
        <v>210.09230769230768</v>
      </c>
    </row>
    <row r="439" ht="15.75" customHeight="1">
      <c r="A439" s="1" t="s">
        <v>621</v>
      </c>
      <c r="B439" s="8">
        <v>231.4024615384615</v>
      </c>
      <c r="D439" s="1"/>
      <c r="E439" s="1">
        <v>270.6461538461538</v>
      </c>
    </row>
    <row r="440" ht="15.75" customHeight="1">
      <c r="A440" s="1" t="s">
        <v>622</v>
      </c>
      <c r="B440" s="8">
        <v>174.20953846153844</v>
      </c>
      <c r="D440" s="1"/>
      <c r="E440" s="1">
        <v>203.75384615384615</v>
      </c>
    </row>
    <row r="441" ht="15.75" customHeight="1">
      <c r="A441" s="1" t="s">
        <v>623</v>
      </c>
      <c r="B441" s="8">
        <v>211.80323076923074</v>
      </c>
      <c r="D441" s="1"/>
      <c r="E441" s="1">
        <v>247.72307692307692</v>
      </c>
    </row>
    <row r="442" ht="15.75" customHeight="1">
      <c r="A442" s="1" t="s">
        <v>624</v>
      </c>
      <c r="B442" s="8">
        <v>236.88761538461537</v>
      </c>
      <c r="D442" s="1"/>
      <c r="E442" s="1">
        <v>277.0615384615385</v>
      </c>
    </row>
    <row r="443" ht="15.75" customHeight="1">
      <c r="A443" s="1" t="s">
        <v>625</v>
      </c>
      <c r="B443" s="8">
        <v>151.65069230769228</v>
      </c>
      <c r="D443" s="1"/>
      <c r="E443" s="1">
        <v>177.36923076923077</v>
      </c>
    </row>
    <row r="444" ht="15.75" customHeight="1">
      <c r="A444" s="1" t="s">
        <v>626</v>
      </c>
      <c r="B444" s="8">
        <v>211.1718461538461</v>
      </c>
      <c r="D444" s="1"/>
      <c r="E444" s="1">
        <v>246.98461538461535</v>
      </c>
    </row>
    <row r="445" ht="15.75" customHeight="1">
      <c r="A445" s="1" t="s">
        <v>627</v>
      </c>
      <c r="B445" s="8">
        <v>180.9048461538461</v>
      </c>
      <c r="D445" s="1"/>
      <c r="E445" s="1">
        <v>211.58461538461538</v>
      </c>
    </row>
    <row r="446" ht="15.75" customHeight="1">
      <c r="A446" s="1" t="s">
        <v>628</v>
      </c>
      <c r="B446" s="8">
        <v>104.19161538461536</v>
      </c>
      <c r="D446" s="1"/>
      <c r="E446" s="1">
        <v>121.86153846153844</v>
      </c>
    </row>
    <row r="447" ht="15.75" customHeight="1">
      <c r="A447" s="1" t="s">
        <v>629</v>
      </c>
      <c r="B447" s="8">
        <v>153.70269230769227</v>
      </c>
      <c r="D447" s="1"/>
      <c r="E447" s="1">
        <v>179.76923076923075</v>
      </c>
    </row>
    <row r="448" ht="15.75" customHeight="1">
      <c r="A448" s="1" t="s">
        <v>630</v>
      </c>
      <c r="B448" s="8">
        <v>118.47669230769228</v>
      </c>
      <c r="D448" s="1"/>
      <c r="E448" s="1">
        <v>138.56923076923076</v>
      </c>
    </row>
    <row r="449" ht="15.75" customHeight="1">
      <c r="A449" s="1" t="s">
        <v>631</v>
      </c>
      <c r="B449" s="8">
        <v>184.48269230769228</v>
      </c>
      <c r="D449" s="1"/>
      <c r="E449" s="1">
        <v>215.76923076923077</v>
      </c>
    </row>
    <row r="450" ht="15.75" customHeight="1">
      <c r="A450" s="1" t="s">
        <v>632</v>
      </c>
      <c r="B450" s="8">
        <v>147.1520769230769</v>
      </c>
      <c r="D450" s="1"/>
      <c r="E450" s="1">
        <v>172.1076923076923</v>
      </c>
    </row>
    <row r="451" ht="15.75" customHeight="1">
      <c r="A451" s="1" t="s">
        <v>633</v>
      </c>
      <c r="B451" s="8">
        <v>258.8808461538461</v>
      </c>
      <c r="D451" s="1"/>
      <c r="E451" s="1">
        <v>302.7846153846154</v>
      </c>
    </row>
    <row r="452" ht="15.75" customHeight="1">
      <c r="A452" s="1" t="s">
        <v>634</v>
      </c>
      <c r="B452" s="8">
        <v>209.10669230769227</v>
      </c>
      <c r="D452" s="1"/>
      <c r="E452" s="1">
        <v>244.56923076923076</v>
      </c>
    </row>
    <row r="453" ht="15.75" customHeight="1">
      <c r="A453" s="1" t="s">
        <v>635</v>
      </c>
      <c r="B453" s="8">
        <v>40.82953846153845</v>
      </c>
      <c r="D453" s="1"/>
      <c r="E453" s="1">
        <v>47.75384615384615</v>
      </c>
    </row>
    <row r="454" ht="15.75" customHeight="1">
      <c r="A454" s="1" t="s">
        <v>636</v>
      </c>
      <c r="B454" s="8">
        <v>29.096307692307686</v>
      </c>
      <c r="D454" s="1"/>
      <c r="E454" s="1">
        <v>34.03076923076923</v>
      </c>
    </row>
    <row r="455" ht="15.75" customHeight="1">
      <c r="A455" s="1" t="s">
        <v>637</v>
      </c>
      <c r="B455" s="8">
        <v>258.8808461538461</v>
      </c>
      <c r="D455" s="1"/>
      <c r="E455" s="1">
        <v>302.7846153846154</v>
      </c>
    </row>
    <row r="456" ht="15.75" customHeight="1">
      <c r="A456" s="1" t="s">
        <v>638</v>
      </c>
      <c r="B456" s="8">
        <v>209.10669230769227</v>
      </c>
      <c r="D456" s="1"/>
      <c r="E456" s="1">
        <v>244.56923076923076</v>
      </c>
    </row>
    <row r="457" ht="15.75" customHeight="1">
      <c r="A457" s="1" t="s">
        <v>639</v>
      </c>
      <c r="B457" s="8">
        <v>184.48269230769228</v>
      </c>
      <c r="D457" s="1"/>
      <c r="E457" s="1">
        <v>215.76923076923077</v>
      </c>
    </row>
    <row r="458" ht="15.75" customHeight="1">
      <c r="A458" s="1" t="s">
        <v>640</v>
      </c>
      <c r="B458" s="8">
        <v>147.1520769230769</v>
      </c>
      <c r="D458" s="1"/>
      <c r="E458" s="1">
        <v>172.1076923076923</v>
      </c>
    </row>
    <row r="459" ht="15.75" customHeight="1">
      <c r="A459" s="1" t="s">
        <v>641</v>
      </c>
      <c r="B459" s="8">
        <v>59.244923076923065</v>
      </c>
      <c r="D459" s="1"/>
      <c r="E459" s="1">
        <v>69.29230769230769</v>
      </c>
    </row>
    <row r="460" ht="15.75" customHeight="1">
      <c r="A460" s="1" t="s">
        <v>642</v>
      </c>
      <c r="B460" s="8">
        <v>35.436461538461536</v>
      </c>
      <c r="D460" s="1"/>
      <c r="E460" s="1">
        <v>41.44615384615385</v>
      </c>
    </row>
    <row r="461" ht="15.75" customHeight="1">
      <c r="A461" s="1" t="s">
        <v>643</v>
      </c>
      <c r="B461" s="8">
        <v>10.641461538461536</v>
      </c>
      <c r="D461" s="1"/>
      <c r="E461" s="1">
        <v>12.446153846153846</v>
      </c>
    </row>
    <row r="462" ht="15.75" customHeight="1">
      <c r="A462" s="1" t="s">
        <v>644</v>
      </c>
      <c r="B462" s="8">
        <v>10.641461538461536</v>
      </c>
      <c r="D462" s="1"/>
      <c r="E462" s="1">
        <v>12.446153846153846</v>
      </c>
    </row>
    <row r="463" ht="15.75" customHeight="1">
      <c r="A463" s="8" t="s">
        <v>645</v>
      </c>
      <c r="B463" s="1">
        <v>16.390349999999998</v>
      </c>
      <c r="D463" s="8"/>
      <c r="E463" s="1" t="s">
        <v>646</v>
      </c>
      <c r="F463" s="1"/>
      <c r="G463" s="1"/>
      <c r="H463" s="1"/>
      <c r="I463" s="1"/>
      <c r="J463" s="1"/>
    </row>
    <row r="464" ht="15.75" customHeight="1">
      <c r="A464" s="8" t="s">
        <v>647</v>
      </c>
      <c r="B464" s="1">
        <v>24.110999999999997</v>
      </c>
      <c r="D464" s="8"/>
      <c r="E464" s="1" t="s">
        <v>648</v>
      </c>
      <c r="F464" s="1"/>
      <c r="G464" s="1"/>
      <c r="H464" s="1"/>
      <c r="I464" s="1"/>
      <c r="J464" s="1"/>
    </row>
    <row r="465" ht="15.75" customHeight="1">
      <c r="A465" s="8" t="s">
        <v>649</v>
      </c>
      <c r="B465" s="1">
        <v>27.753299999999996</v>
      </c>
      <c r="C465" s="1"/>
      <c r="D465" s="8"/>
      <c r="E465" s="1" t="s">
        <v>650</v>
      </c>
      <c r="F465" s="1"/>
      <c r="G465" s="1"/>
      <c r="H465" s="1"/>
      <c r="I465" s="1"/>
      <c r="J465" s="1"/>
    </row>
    <row r="466" ht="15.75" customHeight="1">
      <c r="A466" s="8" t="s">
        <v>651</v>
      </c>
      <c r="B466" s="1">
        <v>25.154099999999996</v>
      </c>
      <c r="C466" s="1"/>
      <c r="E466" s="1" t="s">
        <v>652</v>
      </c>
      <c r="F466" s="1"/>
      <c r="G466" s="1"/>
      <c r="H466" s="1"/>
      <c r="I466" s="1"/>
      <c r="J466" s="1"/>
    </row>
    <row r="467" ht="15.75" customHeight="1">
      <c r="A467" s="8" t="s">
        <v>653</v>
      </c>
      <c r="B467" s="1">
        <v>30.950999999999997</v>
      </c>
      <c r="C467" s="1"/>
      <c r="E467" s="1" t="s">
        <v>654</v>
      </c>
      <c r="F467" s="1"/>
      <c r="G467" s="1"/>
      <c r="H467" s="1"/>
      <c r="I467" s="1"/>
      <c r="J467" s="1"/>
    </row>
    <row r="468" ht="15.75" customHeight="1">
      <c r="A468" s="8" t="s">
        <v>655</v>
      </c>
      <c r="B468" s="1">
        <v>14.432399999999998</v>
      </c>
      <c r="C468" s="1"/>
      <c r="E468" s="1" t="s">
        <v>656</v>
      </c>
      <c r="F468" s="1"/>
      <c r="G468" s="1"/>
      <c r="H468" s="1"/>
      <c r="I468" s="1"/>
      <c r="J468" s="1"/>
    </row>
    <row r="469" ht="15.75" customHeight="1">
      <c r="A469" s="8" t="s">
        <v>657</v>
      </c>
      <c r="B469" s="1">
        <v>14.355449999999998</v>
      </c>
      <c r="C469" s="1"/>
      <c r="D469" s="8"/>
      <c r="E469" s="1" t="s">
        <v>658</v>
      </c>
      <c r="F469" s="1"/>
      <c r="G469" s="1"/>
      <c r="H469" s="1"/>
      <c r="I469" s="1"/>
      <c r="J469" s="1"/>
    </row>
    <row r="470" ht="15.75" customHeight="1">
      <c r="A470" s="8" t="s">
        <v>659</v>
      </c>
      <c r="B470" s="1">
        <v>27.548099999999994</v>
      </c>
      <c r="C470" s="1"/>
      <c r="D470" s="8"/>
      <c r="E470" s="1" t="s">
        <v>660</v>
      </c>
      <c r="F470" s="1"/>
      <c r="G470" s="1"/>
      <c r="H470" s="1"/>
      <c r="I470" s="1"/>
      <c r="J470" s="1"/>
    </row>
    <row r="471" ht="15.75" customHeight="1">
      <c r="A471" s="8" t="s">
        <v>661</v>
      </c>
      <c r="B471" s="1">
        <v>31.703399999999995</v>
      </c>
      <c r="C471" s="8"/>
      <c r="D471" s="8"/>
      <c r="E471" s="1" t="s">
        <v>662</v>
      </c>
      <c r="F471" s="1"/>
      <c r="G471" s="1"/>
      <c r="H471" s="1"/>
      <c r="I471" s="1"/>
      <c r="J471" s="1"/>
    </row>
    <row r="472" ht="15.75" customHeight="1">
      <c r="A472" s="8" t="s">
        <v>663</v>
      </c>
      <c r="B472" s="1">
        <v>23.324399999999997</v>
      </c>
      <c r="C472" s="8"/>
      <c r="E472" s="1" t="s">
        <v>664</v>
      </c>
      <c r="F472" s="1"/>
      <c r="G472" s="1"/>
      <c r="H472" s="1"/>
      <c r="I472" s="1"/>
      <c r="J472" s="1"/>
    </row>
    <row r="473" ht="15.75" customHeight="1">
      <c r="A473" s="8" t="s">
        <v>665</v>
      </c>
      <c r="B473" s="1">
        <v>44.776349999999994</v>
      </c>
      <c r="C473" s="8"/>
      <c r="E473" s="1" t="s">
        <v>666</v>
      </c>
      <c r="F473" s="1"/>
      <c r="G473" s="1"/>
      <c r="H473" s="1"/>
      <c r="I473" s="1"/>
      <c r="J473" s="1"/>
    </row>
    <row r="474" ht="15.75" customHeight="1">
      <c r="A474" s="8" t="s">
        <v>667</v>
      </c>
      <c r="B474" s="1">
        <v>51.52229999999999</v>
      </c>
      <c r="C474" s="8"/>
      <c r="E474" s="1" t="s">
        <v>668</v>
      </c>
      <c r="F474" s="1"/>
      <c r="G474" s="1"/>
      <c r="H474" s="1"/>
      <c r="I474" s="1"/>
      <c r="J474" s="1"/>
    </row>
    <row r="475" ht="15.75" customHeight="1">
      <c r="A475" s="8" t="s">
        <v>669</v>
      </c>
      <c r="B475" s="1">
        <v>32.301899999999996</v>
      </c>
      <c r="C475" s="8"/>
      <c r="E475" s="1" t="s">
        <v>670</v>
      </c>
      <c r="F475" s="1"/>
      <c r="G475" s="1"/>
      <c r="H475" s="1"/>
      <c r="I475" s="1"/>
      <c r="J475" s="1"/>
    </row>
    <row r="476" ht="15.75" customHeight="1">
      <c r="A476" s="8" t="s">
        <v>671</v>
      </c>
      <c r="B476" s="1">
        <v>61.98749999999999</v>
      </c>
      <c r="C476" s="8"/>
      <c r="E476" s="1" t="s">
        <v>672</v>
      </c>
      <c r="F476" s="1"/>
      <c r="G476" s="1"/>
      <c r="H476" s="1"/>
      <c r="I476" s="1"/>
      <c r="J476" s="1"/>
    </row>
    <row r="477" ht="15.75" customHeight="1">
      <c r="A477" s="8" t="s">
        <v>673</v>
      </c>
      <c r="B477" s="1">
        <v>71.34119999999999</v>
      </c>
      <c r="C477" s="8"/>
      <c r="E477" s="1" t="s">
        <v>674</v>
      </c>
      <c r="F477" s="1"/>
      <c r="G477" s="1"/>
      <c r="H477" s="1"/>
      <c r="I477" s="1"/>
      <c r="J477" s="1"/>
    </row>
    <row r="478" ht="15.75" customHeight="1">
      <c r="A478" s="8" t="s">
        <v>675</v>
      </c>
      <c r="B478" s="1">
        <v>41.270849999999996</v>
      </c>
      <c r="C478" s="8"/>
      <c r="E478" s="1" t="s">
        <v>676</v>
      </c>
      <c r="F478" s="1"/>
      <c r="G478" s="1"/>
      <c r="H478" s="1"/>
      <c r="I478" s="1"/>
      <c r="J478" s="1"/>
    </row>
    <row r="479" ht="15.75" customHeight="1">
      <c r="A479" s="8" t="s">
        <v>677</v>
      </c>
      <c r="B479" s="1">
        <v>79.21575</v>
      </c>
      <c r="C479" s="8"/>
      <c r="E479" s="1" t="s">
        <v>678</v>
      </c>
      <c r="F479" s="1"/>
      <c r="G479" s="1"/>
      <c r="H479" s="1"/>
      <c r="I479" s="1"/>
      <c r="J479" s="1"/>
    </row>
    <row r="480" ht="15.75" customHeight="1">
      <c r="A480" s="8" t="s">
        <v>679</v>
      </c>
      <c r="B480" s="1">
        <v>91.16009999999999</v>
      </c>
      <c r="C480" s="8"/>
      <c r="E480" s="1" t="s">
        <v>680</v>
      </c>
      <c r="F480" s="1"/>
      <c r="G480" s="1"/>
      <c r="H480" s="1"/>
      <c r="I480" s="1"/>
      <c r="J480" s="1"/>
    </row>
    <row r="481" ht="15.75" customHeight="1">
      <c r="A481" s="8" t="s">
        <v>681</v>
      </c>
      <c r="B481" s="1">
        <v>50.33384999999999</v>
      </c>
      <c r="C481" s="8"/>
      <c r="E481" s="1" t="s">
        <v>682</v>
      </c>
      <c r="F481" s="1"/>
      <c r="G481" s="1"/>
      <c r="H481" s="1"/>
      <c r="I481" s="1"/>
      <c r="J481" s="1"/>
    </row>
    <row r="482" ht="15.75" customHeight="1">
      <c r="A482" s="8" t="s">
        <v>683</v>
      </c>
      <c r="B482" s="1">
        <v>96.43544999999999</v>
      </c>
      <c r="C482" s="8"/>
      <c r="E482" s="1" t="s">
        <v>684</v>
      </c>
      <c r="F482" s="1"/>
      <c r="G482" s="1"/>
      <c r="H482" s="1"/>
      <c r="I482" s="1"/>
      <c r="J482" s="1"/>
    </row>
    <row r="483" ht="15.75" customHeight="1">
      <c r="A483" s="8" t="s">
        <v>685</v>
      </c>
      <c r="B483" s="1">
        <v>110.979</v>
      </c>
      <c r="C483" s="8"/>
      <c r="E483" s="1" t="s">
        <v>686</v>
      </c>
      <c r="F483" s="1"/>
      <c r="G483" s="1"/>
      <c r="H483" s="1"/>
      <c r="I483" s="1"/>
      <c r="J483" s="1"/>
    </row>
    <row r="484" ht="15.75" customHeight="1">
      <c r="A484" s="8" t="s">
        <v>687</v>
      </c>
      <c r="B484" s="1">
        <v>59.20874999999999</v>
      </c>
      <c r="C484" s="8"/>
      <c r="E484" s="1" t="s">
        <v>688</v>
      </c>
      <c r="F484" s="1"/>
      <c r="G484" s="1"/>
      <c r="H484" s="1"/>
      <c r="I484" s="1"/>
      <c r="J484" s="1"/>
    </row>
    <row r="485" ht="15.75" customHeight="1">
      <c r="A485" s="8" t="s">
        <v>689</v>
      </c>
      <c r="B485" s="1">
        <v>113.65514999999999</v>
      </c>
      <c r="C485" s="8"/>
      <c r="E485" s="1" t="s">
        <v>690</v>
      </c>
      <c r="F485" s="1"/>
      <c r="G485" s="1"/>
      <c r="H485" s="1"/>
      <c r="I485" s="1"/>
      <c r="J485" s="1"/>
    </row>
    <row r="486" ht="15.75" customHeight="1">
      <c r="A486" s="8" t="s">
        <v>691</v>
      </c>
      <c r="B486" s="1">
        <v>130.78934999999998</v>
      </c>
      <c r="C486" s="8"/>
      <c r="E486" s="1" t="s">
        <v>692</v>
      </c>
      <c r="F486" s="1"/>
      <c r="G486" s="1"/>
      <c r="H486" s="1"/>
      <c r="I486" s="1"/>
      <c r="J486" s="1"/>
    </row>
    <row r="487" ht="15.75" customHeight="1">
      <c r="A487" s="8" t="s">
        <v>693</v>
      </c>
      <c r="B487" s="1">
        <v>68.17769999999999</v>
      </c>
      <c r="C487" s="8"/>
      <c r="E487" s="1" t="s">
        <v>694</v>
      </c>
      <c r="F487" s="1"/>
      <c r="G487" s="1"/>
      <c r="H487" s="1"/>
      <c r="I487" s="1"/>
      <c r="J487" s="1"/>
    </row>
    <row r="488" ht="15.75" customHeight="1">
      <c r="A488" s="8" t="s">
        <v>695</v>
      </c>
      <c r="B488" s="1">
        <v>131.0544</v>
      </c>
      <c r="C488" s="8"/>
      <c r="E488" s="1" t="s">
        <v>696</v>
      </c>
    </row>
    <row r="489" ht="15.75" customHeight="1">
      <c r="A489" s="8" t="s">
        <v>697</v>
      </c>
      <c r="B489" s="1">
        <v>150.60824999999997</v>
      </c>
      <c r="C489" s="8"/>
      <c r="E489" s="1" t="s">
        <v>698</v>
      </c>
    </row>
    <row r="490" ht="15.75" customHeight="1">
      <c r="A490" s="8" t="s">
        <v>699</v>
      </c>
      <c r="B490" s="1">
        <v>68.17769999999999</v>
      </c>
      <c r="C490" s="8"/>
      <c r="E490" s="1" t="s">
        <v>694</v>
      </c>
    </row>
    <row r="491" ht="15.75" customHeight="1">
      <c r="A491" s="8" t="s">
        <v>700</v>
      </c>
      <c r="B491" s="1">
        <v>131.0544</v>
      </c>
      <c r="C491" s="8"/>
      <c r="E491" s="1" t="s">
        <v>696</v>
      </c>
    </row>
    <row r="492" ht="15.75" customHeight="1">
      <c r="A492" s="8" t="s">
        <v>701</v>
      </c>
      <c r="B492" s="1">
        <v>150.60824999999997</v>
      </c>
      <c r="C492" s="8"/>
      <c r="E492" s="1" t="s">
        <v>698</v>
      </c>
    </row>
    <row r="493" ht="15.75" customHeight="1">
      <c r="A493" s="8" t="s">
        <v>702</v>
      </c>
      <c r="B493" s="1">
        <v>77.14665</v>
      </c>
      <c r="C493" s="8"/>
      <c r="E493" s="1" t="s">
        <v>703</v>
      </c>
    </row>
    <row r="494" ht="15.75" customHeight="1">
      <c r="A494" s="8" t="s">
        <v>704</v>
      </c>
      <c r="B494" s="1">
        <v>148.09455</v>
      </c>
      <c r="C494" s="8"/>
      <c r="E494" s="1" t="s">
        <v>705</v>
      </c>
    </row>
    <row r="495" ht="15.75" customHeight="1">
      <c r="A495" s="8" t="s">
        <v>706</v>
      </c>
      <c r="B495" s="1">
        <v>170.42714999999998</v>
      </c>
      <c r="C495" s="8"/>
      <c r="E495" s="1" t="s">
        <v>707</v>
      </c>
    </row>
    <row r="496" ht="15.75" customHeight="1">
      <c r="A496" s="8" t="s">
        <v>708</v>
      </c>
      <c r="B496" s="10" t="str">
        <f t="shared" ref="B496:B500" si="1">E496</f>
        <v>54.46</v>
      </c>
      <c r="E496" s="1" t="s">
        <v>709</v>
      </c>
      <c r="F496" s="1" t="s">
        <v>710</v>
      </c>
    </row>
    <row r="497" ht="15.75" customHeight="1">
      <c r="A497" s="8" t="s">
        <v>711</v>
      </c>
      <c r="B497" s="10" t="str">
        <f t="shared" si="1"/>
        <v>63.54</v>
      </c>
      <c r="E497" s="1" t="s">
        <v>712</v>
      </c>
      <c r="F497" s="1" t="s">
        <v>710</v>
      </c>
    </row>
    <row r="498" ht="15.75" customHeight="1">
      <c r="A498" s="8" t="s">
        <v>713</v>
      </c>
      <c r="B498" s="10" t="str">
        <f t="shared" si="1"/>
        <v>66.56</v>
      </c>
      <c r="E498" s="1" t="s">
        <v>714</v>
      </c>
      <c r="F498" s="1" t="s">
        <v>710</v>
      </c>
    </row>
    <row r="499" ht="15.75" customHeight="1">
      <c r="A499" s="8" t="s">
        <v>715</v>
      </c>
      <c r="B499" s="10" t="str">
        <f t="shared" si="1"/>
        <v>92.28</v>
      </c>
      <c r="E499" s="1" t="s">
        <v>716</v>
      </c>
      <c r="F499" s="1" t="s">
        <v>710</v>
      </c>
    </row>
    <row r="500" ht="15.75" customHeight="1">
      <c r="A500" s="8" t="s">
        <v>717</v>
      </c>
      <c r="B500" s="10" t="str">
        <f t="shared" si="1"/>
        <v>64.84</v>
      </c>
      <c r="E500" s="1" t="s">
        <v>718</v>
      </c>
      <c r="F500" s="1" t="s">
        <v>710</v>
      </c>
    </row>
    <row r="501" ht="15.75" customHeight="1">
      <c r="B501" s="8"/>
    </row>
    <row r="502" ht="15.75" customHeight="1">
      <c r="B502" s="8"/>
    </row>
    <row r="503" ht="15.75" customHeight="1">
      <c r="B503" s="8"/>
    </row>
    <row r="504" ht="15.75" customHeight="1">
      <c r="B504" s="8"/>
    </row>
    <row r="505" ht="15.75" customHeight="1">
      <c r="B505" s="8"/>
    </row>
    <row r="506" ht="15.75" customHeight="1">
      <c r="B506" s="8"/>
    </row>
    <row r="507" ht="15.75" customHeight="1">
      <c r="B507" s="8"/>
    </row>
    <row r="508" ht="15.75" customHeight="1">
      <c r="B508" s="8"/>
    </row>
    <row r="509" ht="15.0" customHeight="1">
      <c r="B509" s="8"/>
    </row>
    <row r="510" ht="15.75" customHeight="1">
      <c r="B510" s="8"/>
    </row>
    <row r="511" ht="15.75" customHeight="1">
      <c r="B511" s="8"/>
    </row>
    <row r="512" ht="15.75" customHeight="1">
      <c r="B512" s="8"/>
    </row>
    <row r="513" ht="15.75" customHeight="1">
      <c r="B513" s="8"/>
    </row>
    <row r="514" ht="15.75" customHeight="1">
      <c r="B514" s="8"/>
    </row>
    <row r="515" ht="15.75" customHeight="1">
      <c r="B515" s="8"/>
    </row>
    <row r="516" ht="15.75" customHeight="1">
      <c r="B516" s="8"/>
    </row>
    <row r="517" ht="15.75" customHeight="1">
      <c r="B517" s="8"/>
    </row>
    <row r="518" ht="15.75" customHeight="1">
      <c r="B518" s="8"/>
    </row>
    <row r="519" ht="15.75" customHeight="1">
      <c r="B519" s="8"/>
    </row>
    <row r="520" ht="15.75" customHeight="1">
      <c r="B520" s="8"/>
    </row>
    <row r="521" ht="15.75" customHeight="1">
      <c r="B521" s="8"/>
    </row>
    <row r="522" ht="15.75" customHeight="1">
      <c r="B522" s="8"/>
    </row>
    <row r="523" ht="15.75" customHeight="1">
      <c r="B523" s="8"/>
    </row>
    <row r="524" ht="15.75" customHeight="1">
      <c r="B524" s="8"/>
    </row>
    <row r="525" ht="15.75" customHeight="1">
      <c r="B525" s="8"/>
    </row>
    <row r="526" ht="15.75" customHeight="1">
      <c r="B526" s="8"/>
    </row>
    <row r="527" ht="15.75" customHeight="1">
      <c r="B527" s="8"/>
    </row>
    <row r="528" ht="15.75" customHeight="1">
      <c r="B528" s="8"/>
    </row>
    <row r="529" ht="15.75" customHeight="1">
      <c r="B529" s="8"/>
    </row>
    <row r="530" ht="15.75" customHeight="1">
      <c r="B530" s="8"/>
    </row>
    <row r="531" ht="15.75" customHeight="1">
      <c r="B531" s="8"/>
    </row>
    <row r="532" ht="15.75" customHeight="1">
      <c r="B532" s="8"/>
    </row>
    <row r="533" ht="15.75" customHeight="1">
      <c r="B533" s="8"/>
    </row>
    <row r="534" ht="15.75" customHeight="1">
      <c r="B534" s="8"/>
    </row>
    <row r="535" ht="15.75" customHeight="1">
      <c r="B535" s="8"/>
    </row>
    <row r="536" ht="15.75" customHeight="1">
      <c r="B536" s="8"/>
    </row>
    <row r="537" ht="15.75" customHeight="1">
      <c r="B537" s="8"/>
    </row>
    <row r="538" ht="15.75" customHeight="1">
      <c r="B538" s="8"/>
    </row>
    <row r="539" ht="15.75" customHeight="1">
      <c r="B539" s="8"/>
    </row>
    <row r="540" ht="15.75" customHeight="1">
      <c r="B540" s="8"/>
    </row>
    <row r="541" ht="15.75" customHeight="1">
      <c r="B541" s="8"/>
    </row>
    <row r="542" ht="15.75" customHeight="1">
      <c r="B542" s="8"/>
    </row>
    <row r="543" ht="15.75" customHeight="1">
      <c r="B543" s="8"/>
    </row>
    <row r="544" ht="15.75" customHeight="1">
      <c r="B544" s="8"/>
    </row>
    <row r="545" ht="15.75" customHeight="1">
      <c r="B545" s="8"/>
    </row>
    <row r="546" ht="15.75" customHeight="1">
      <c r="B546" s="8"/>
    </row>
    <row r="547" ht="15.75" customHeight="1">
      <c r="B547" s="8"/>
    </row>
    <row r="548" ht="15.75" customHeight="1">
      <c r="B548" s="8"/>
    </row>
    <row r="549" ht="15.75" customHeight="1">
      <c r="B549" s="8"/>
    </row>
    <row r="550" ht="15.75" customHeight="1">
      <c r="B550" s="8"/>
    </row>
    <row r="551" ht="15.75" customHeight="1">
      <c r="B551" s="8"/>
    </row>
    <row r="552" ht="15.75" customHeight="1">
      <c r="B552" s="8"/>
    </row>
    <row r="553" ht="15.75" customHeight="1">
      <c r="B553" s="8"/>
    </row>
    <row r="554" ht="15.75" customHeight="1">
      <c r="B554" s="8"/>
    </row>
    <row r="555" ht="15.75" customHeight="1">
      <c r="B555" s="8"/>
    </row>
    <row r="556" ht="15.75" customHeight="1">
      <c r="B556" s="8"/>
    </row>
    <row r="557" ht="15.75" customHeight="1">
      <c r="B557" s="8"/>
    </row>
    <row r="558" ht="15.75" customHeight="1">
      <c r="B558" s="8"/>
    </row>
    <row r="559" ht="15.75" customHeight="1">
      <c r="B559" s="8"/>
    </row>
    <row r="560" ht="15.75" customHeight="1">
      <c r="B560" s="8"/>
    </row>
    <row r="561" ht="15.75" customHeight="1">
      <c r="B561" s="8"/>
    </row>
    <row r="562" ht="15.75" customHeight="1">
      <c r="B562" s="8"/>
    </row>
    <row r="563" ht="15.75" customHeight="1">
      <c r="B563" s="8"/>
    </row>
    <row r="564" ht="15.75" customHeight="1">
      <c r="B564" s="8"/>
    </row>
    <row r="565" ht="15.75" customHeight="1">
      <c r="B565" s="8"/>
    </row>
    <row r="566" ht="15.75" customHeight="1">
      <c r="B566" s="8"/>
    </row>
    <row r="567" ht="15.75" customHeight="1">
      <c r="B567" s="8"/>
    </row>
    <row r="568" ht="15.75" customHeight="1">
      <c r="B568" s="8"/>
    </row>
    <row r="569" ht="15.75" customHeight="1">
      <c r="B569" s="8"/>
    </row>
    <row r="570" ht="15.75" customHeight="1">
      <c r="B570" s="8"/>
    </row>
    <row r="571" ht="15.75" customHeight="1">
      <c r="B571" s="8"/>
    </row>
    <row r="572" ht="15.75" customHeight="1">
      <c r="B572" s="8"/>
    </row>
    <row r="573" ht="15.75" customHeight="1">
      <c r="B573" s="8"/>
    </row>
    <row r="574" ht="15.75" customHeight="1">
      <c r="B574" s="8"/>
    </row>
    <row r="575" ht="15.75" customHeight="1">
      <c r="B575" s="8"/>
    </row>
    <row r="576" ht="15.75" customHeight="1">
      <c r="B576" s="8"/>
    </row>
    <row r="577" ht="15.75" customHeight="1">
      <c r="B577" s="8"/>
    </row>
    <row r="578" ht="15.75" customHeight="1">
      <c r="B578" s="8"/>
    </row>
    <row r="579" ht="15.75" customHeight="1">
      <c r="B579" s="8"/>
    </row>
    <row r="580" ht="15.75" customHeight="1">
      <c r="B580" s="8"/>
    </row>
    <row r="581" ht="15.75" customHeight="1">
      <c r="B581" s="8"/>
    </row>
    <row r="582" ht="15.75" customHeight="1">
      <c r="B582" s="8"/>
    </row>
    <row r="583" ht="15.75" customHeight="1">
      <c r="B583" s="8"/>
    </row>
    <row r="584" ht="15.75" customHeight="1">
      <c r="B584" s="8"/>
    </row>
    <row r="585" ht="15.75" customHeight="1">
      <c r="B585" s="8"/>
    </row>
    <row r="586" ht="15.75" customHeight="1">
      <c r="B586" s="8"/>
    </row>
    <row r="587" ht="15.75" customHeight="1">
      <c r="B587" s="8"/>
    </row>
    <row r="588" ht="15.75" customHeight="1">
      <c r="B588" s="8"/>
    </row>
    <row r="589" ht="15.75" customHeight="1">
      <c r="B589" s="8"/>
    </row>
    <row r="590" ht="15.75" customHeight="1">
      <c r="B590" s="8"/>
    </row>
    <row r="591" ht="15.75" customHeight="1">
      <c r="B591" s="8"/>
    </row>
    <row r="592" ht="15.75" customHeight="1">
      <c r="B592" s="8"/>
    </row>
    <row r="593" ht="15.75" customHeight="1">
      <c r="B593" s="8"/>
    </row>
    <row r="594" ht="15.75" customHeight="1">
      <c r="B594" s="8"/>
    </row>
    <row r="595" ht="15.75" customHeight="1">
      <c r="B595" s="8"/>
    </row>
    <row r="596" ht="15.75" customHeight="1">
      <c r="B596" s="8"/>
    </row>
    <row r="597" ht="15.75" customHeight="1">
      <c r="B597" s="8"/>
    </row>
    <row r="598" ht="15.75" customHeight="1">
      <c r="B598" s="8"/>
    </row>
    <row r="599" ht="15.75" customHeight="1">
      <c r="B599" s="8"/>
    </row>
    <row r="600" ht="15.75" customHeight="1">
      <c r="B600" s="8"/>
    </row>
    <row r="601" ht="15.75" customHeight="1">
      <c r="B601" s="8"/>
    </row>
    <row r="602" ht="15.75" customHeight="1">
      <c r="B602" s="8"/>
    </row>
    <row r="603" ht="15.75" customHeight="1">
      <c r="B603" s="8"/>
    </row>
    <row r="604" ht="15.75" customHeight="1">
      <c r="B604" s="8"/>
    </row>
    <row r="605" ht="15.75" customHeight="1">
      <c r="B605" s="8"/>
    </row>
    <row r="606" ht="15.75" customHeight="1">
      <c r="B606" s="8"/>
    </row>
    <row r="607" ht="15.75" customHeight="1">
      <c r="B607" s="8"/>
    </row>
    <row r="608" ht="15.75" customHeight="1">
      <c r="B608" s="8"/>
    </row>
    <row r="609" ht="15.75" customHeight="1">
      <c r="B609" s="8"/>
    </row>
    <row r="610" ht="15.75" customHeight="1">
      <c r="B610" s="8"/>
    </row>
    <row r="611" ht="15.75" customHeight="1">
      <c r="B611" s="8"/>
    </row>
    <row r="612" ht="15.75" customHeight="1">
      <c r="B612" s="8"/>
    </row>
    <row r="613" ht="15.75" customHeight="1">
      <c r="B613" s="8"/>
    </row>
    <row r="614" ht="15.75" customHeight="1">
      <c r="B614" s="8"/>
    </row>
    <row r="615" ht="15.75" customHeight="1">
      <c r="B615" s="8"/>
    </row>
    <row r="616" ht="15.75" customHeight="1">
      <c r="B616" s="8"/>
    </row>
    <row r="617" ht="15.75" customHeight="1">
      <c r="B617" s="8"/>
    </row>
    <row r="618" ht="15.75" customHeight="1">
      <c r="B618" s="8"/>
    </row>
    <row r="619" ht="15.75" customHeight="1">
      <c r="B619" s="8"/>
    </row>
    <row r="620" ht="15.75" customHeight="1">
      <c r="B620" s="8"/>
    </row>
    <row r="621" ht="15.75" customHeight="1">
      <c r="B621" s="8"/>
    </row>
    <row r="622" ht="15.75" customHeight="1">
      <c r="B622" s="8"/>
    </row>
    <row r="623" ht="15.75" customHeight="1">
      <c r="B623" s="8"/>
    </row>
    <row r="624" ht="15.75" customHeight="1">
      <c r="B624" s="8"/>
    </row>
    <row r="625" ht="15.75" customHeight="1">
      <c r="B625" s="8"/>
    </row>
    <row r="626" ht="15.75" customHeight="1">
      <c r="B626" s="8"/>
    </row>
    <row r="627" ht="15.75" customHeight="1">
      <c r="B627" s="8"/>
    </row>
    <row r="628" ht="15.75" customHeight="1">
      <c r="B628" s="8"/>
    </row>
    <row r="629" ht="15.75" customHeight="1">
      <c r="B629" s="8"/>
    </row>
    <row r="630" ht="15.75" customHeight="1">
      <c r="B630" s="8"/>
    </row>
    <row r="631" ht="15.75" customHeight="1">
      <c r="B631" s="8"/>
    </row>
    <row r="632" ht="15.75" customHeight="1">
      <c r="B632" s="8"/>
    </row>
    <row r="633" ht="15.75" customHeight="1">
      <c r="B633" s="8"/>
    </row>
    <row r="634" ht="15.75" customHeight="1">
      <c r="B634" s="8"/>
    </row>
    <row r="635" ht="15.75" customHeight="1">
      <c r="B635" s="8"/>
    </row>
    <row r="636" ht="15.75" customHeight="1">
      <c r="B636" s="8"/>
    </row>
    <row r="637" ht="15.75" customHeight="1">
      <c r="B637" s="8"/>
    </row>
    <row r="638" ht="15.75" customHeight="1">
      <c r="B638" s="8"/>
    </row>
    <row r="639" ht="15.75" customHeight="1">
      <c r="B639" s="8"/>
    </row>
    <row r="640" ht="15.75" customHeight="1">
      <c r="B640" s="8"/>
    </row>
    <row r="641" ht="15.75" customHeight="1">
      <c r="B641" s="8"/>
    </row>
    <row r="642" ht="15.75" customHeight="1">
      <c r="B642" s="8"/>
    </row>
    <row r="643" ht="15.75" customHeight="1">
      <c r="B643" s="8"/>
    </row>
    <row r="644" ht="15.75" customHeight="1">
      <c r="B644" s="8"/>
    </row>
    <row r="645" ht="15.75" customHeight="1">
      <c r="B645" s="8"/>
    </row>
    <row r="646" ht="15.75" customHeight="1">
      <c r="B646" s="8"/>
    </row>
    <row r="647" ht="15.75" customHeight="1">
      <c r="B647" s="8"/>
    </row>
    <row r="648" ht="15.75" customHeight="1">
      <c r="B648" s="8"/>
    </row>
    <row r="649" ht="15.75" customHeight="1">
      <c r="B649" s="8"/>
    </row>
    <row r="650" ht="15.75" customHeight="1">
      <c r="B650" s="8"/>
    </row>
    <row r="651" ht="15.75" customHeight="1">
      <c r="B651" s="8"/>
    </row>
    <row r="652" ht="15.75" customHeight="1">
      <c r="B652" s="8"/>
    </row>
    <row r="653" ht="15.75" customHeight="1">
      <c r="B653" s="8"/>
    </row>
    <row r="654" ht="15.75" customHeight="1">
      <c r="B654" s="8"/>
    </row>
    <row r="655" ht="15.75" customHeight="1">
      <c r="B655" s="8"/>
    </row>
    <row r="656" ht="15.75" customHeight="1">
      <c r="B656" s="8"/>
    </row>
    <row r="657" ht="15.75" customHeight="1">
      <c r="B657" s="8"/>
    </row>
    <row r="658" ht="15.75" customHeight="1">
      <c r="B658" s="8"/>
    </row>
    <row r="659" ht="15.75" customHeight="1">
      <c r="B659" s="8"/>
    </row>
    <row r="660" ht="15.75" customHeight="1">
      <c r="B660" s="8"/>
    </row>
    <row r="661" ht="15.75" customHeight="1">
      <c r="B661" s="8"/>
    </row>
    <row r="662" ht="15.75" customHeight="1">
      <c r="B662" s="8"/>
    </row>
    <row r="663" ht="15.75" customHeight="1">
      <c r="B663" s="8"/>
    </row>
    <row r="664" ht="15.75" customHeight="1">
      <c r="B664" s="8"/>
    </row>
    <row r="665" ht="15.75" customHeight="1">
      <c r="B665" s="8"/>
    </row>
    <row r="666" ht="15.75" customHeight="1">
      <c r="B666" s="8"/>
    </row>
    <row r="667" ht="15.75" customHeight="1">
      <c r="B667" s="8"/>
    </row>
    <row r="668" ht="15.75" customHeight="1">
      <c r="B668" s="8"/>
    </row>
    <row r="669" ht="15.75" customHeight="1">
      <c r="B669" s="8"/>
    </row>
    <row r="670" ht="15.75" customHeight="1">
      <c r="B670" s="8"/>
    </row>
    <row r="671" ht="15.75" customHeight="1">
      <c r="B671" s="8"/>
    </row>
    <row r="672" ht="15.75" customHeight="1">
      <c r="B672" s="8"/>
    </row>
    <row r="673" ht="15.75" customHeight="1">
      <c r="B673" s="8"/>
    </row>
    <row r="674" ht="15.75" customHeight="1">
      <c r="B674" s="8"/>
    </row>
    <row r="675" ht="15.75" customHeight="1">
      <c r="B675" s="8"/>
    </row>
    <row r="676" ht="15.75" customHeight="1">
      <c r="B676" s="8"/>
    </row>
    <row r="677" ht="15.75" customHeight="1">
      <c r="B677" s="8"/>
    </row>
    <row r="678" ht="15.75" customHeight="1">
      <c r="B678" s="8"/>
    </row>
    <row r="679" ht="15.75" customHeight="1">
      <c r="B679" s="8"/>
    </row>
    <row r="680" ht="15.75" customHeight="1">
      <c r="B680" s="8"/>
    </row>
    <row r="681" ht="15.75" customHeight="1">
      <c r="B681" s="8"/>
    </row>
    <row r="682" ht="15.75" customHeight="1">
      <c r="B682" s="8"/>
    </row>
    <row r="683" ht="15.75" customHeight="1">
      <c r="B683" s="8"/>
    </row>
    <row r="684" ht="15.75" customHeight="1">
      <c r="B684" s="8"/>
    </row>
    <row r="685" ht="15.75" customHeight="1">
      <c r="B685" s="8"/>
    </row>
    <row r="686" ht="15.75" customHeight="1">
      <c r="B686" s="8"/>
    </row>
    <row r="687" ht="15.75" customHeight="1">
      <c r="B687" s="8"/>
    </row>
    <row r="688" ht="15.75" customHeight="1">
      <c r="B688" s="8"/>
    </row>
    <row r="689" ht="15.75" customHeight="1">
      <c r="B689" s="8"/>
    </row>
    <row r="690" ht="15.75" customHeight="1">
      <c r="B690" s="8"/>
    </row>
    <row r="691" ht="15.75" customHeight="1">
      <c r="B691" s="8"/>
    </row>
    <row r="692" ht="15.75" customHeight="1">
      <c r="B692" s="8"/>
    </row>
    <row r="693" ht="15.75" customHeight="1">
      <c r="B693" s="8"/>
    </row>
    <row r="694" ht="15.75" customHeight="1">
      <c r="B694" s="8"/>
    </row>
    <row r="695" ht="15.75" customHeight="1">
      <c r="B695" s="8"/>
    </row>
    <row r="696" ht="15.75" customHeight="1">
      <c r="B696" s="8"/>
    </row>
    <row r="697" ht="15.75" customHeight="1">
      <c r="B697" s="8"/>
    </row>
    <row r="698" ht="15.75" customHeight="1">
      <c r="B698" s="8"/>
    </row>
    <row r="699" ht="15.75" customHeight="1">
      <c r="B699" s="8"/>
    </row>
    <row r="700" ht="15.75" customHeight="1">
      <c r="B700" s="8"/>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16.29"/>
    <col customWidth="1" min="3" max="4" width="12.57"/>
    <col customWidth="1" min="5" max="5" width="15.43"/>
    <col customWidth="1" min="6" max="7" width="12.57"/>
    <col customWidth="1" min="8" max="8" width="16.0"/>
    <col customWidth="1" min="9" max="9" width="8.43"/>
    <col customWidth="1" min="10" max="11" width="12.57"/>
  </cols>
  <sheetData>
    <row r="1" ht="15.75" customHeight="1">
      <c r="A1" s="1" t="s">
        <v>15</v>
      </c>
      <c r="B1" s="1" t="s">
        <v>719</v>
      </c>
      <c r="C1" s="1" t="s">
        <v>720</v>
      </c>
      <c r="D1" s="11"/>
      <c r="E1" s="11"/>
    </row>
    <row r="2" ht="15.75" customHeight="1">
      <c r="A2" s="1" t="s">
        <v>721</v>
      </c>
      <c r="B2" s="1" t="s">
        <v>722</v>
      </c>
      <c r="C2" s="1" t="s">
        <v>723</v>
      </c>
      <c r="D2" s="1" t="s">
        <v>724</v>
      </c>
      <c r="E2" s="1" t="s">
        <v>725</v>
      </c>
      <c r="F2" s="1" t="s">
        <v>726</v>
      </c>
      <c r="G2" s="1" t="s">
        <v>727</v>
      </c>
      <c r="H2" s="1" t="s">
        <v>728</v>
      </c>
      <c r="I2" s="1" t="s">
        <v>729</v>
      </c>
    </row>
    <row r="3" ht="15.75" customHeight="1">
      <c r="A3" s="1" t="s">
        <v>730</v>
      </c>
      <c r="B3" s="1" t="s">
        <v>731</v>
      </c>
      <c r="C3" s="1" t="s">
        <v>732</v>
      </c>
      <c r="I3" s="1" t="str">
        <f>IFERROR(__xludf.DUMMYFUNCTION("IFERROR(TEXTJOIN(""/"", TRUE, FILTER('(price file overrides)'!$B$2:$B995 &amp; ""="" &amp; '(price file overrides)'!$C$2:$C995, '(price file overrides)'!$A$2:$A995 = B3)), """")
"),"")</f>
        <v/>
      </c>
    </row>
    <row r="4" ht="15.75" customHeight="1">
      <c r="A4" s="1" t="s">
        <v>733</v>
      </c>
      <c r="B4" s="1" t="s">
        <v>734</v>
      </c>
      <c r="C4" s="1" t="s">
        <v>732</v>
      </c>
      <c r="D4" s="5">
        <v>-10.0</v>
      </c>
      <c r="G4" s="5"/>
      <c r="I4" s="1" t="str">
        <f>IFERROR(__xludf.DUMMYFUNCTION("IFERROR(TEXTJOIN(""/"", TRUE, FILTER('(price file overrides)'!$B$2:$B995 &amp; ""="" &amp; '(price file overrides)'!$C$2:$C995, '(price file overrides)'!$A$2:$A995 = B4)), """")
"),"")</f>
        <v/>
      </c>
    </row>
    <row r="5" ht="15.75" customHeight="1">
      <c r="A5" s="1" t="s">
        <v>735</v>
      </c>
      <c r="B5" s="1" t="s">
        <v>736</v>
      </c>
      <c r="C5" s="1" t="s">
        <v>732</v>
      </c>
      <c r="D5" s="5">
        <v>10.0</v>
      </c>
      <c r="I5" s="1" t="str">
        <f>IFERROR(__xludf.DUMMYFUNCTION("IFERROR(TEXTJOIN(""/"", TRUE, FILTER('(price file overrides)'!$B$2:$B995 &amp; ""="" &amp; '(price file overrides)'!$C$2:$C995, '(price file overrides)'!$A$2:$A995 = B5)), """")
"),"")</f>
        <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dataValidations>
    <dataValidation type="list" allowBlank="1" showErrorMessage="1" sqref="C3:C5">
      <formula1>"No,Yes"</formula1>
    </dataValidation>
  </dataValidation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1" width="12.57"/>
  </cols>
  <sheetData>
    <row r="1" ht="15.75" customHeight="1">
      <c r="A1" s="1" t="s">
        <v>737</v>
      </c>
      <c r="B1" s="1" t="s">
        <v>738</v>
      </c>
      <c r="C1" s="1" t="s">
        <v>739</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82" width="12.57"/>
  </cols>
  <sheetData>
    <row r="1" ht="15.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row>
    <row r="2" ht="15.75" customHeight="1">
      <c r="A2" s="1"/>
      <c r="B2" s="1"/>
      <c r="C2" s="1" t="s">
        <v>740</v>
      </c>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row>
    <row r="3" ht="15.75" customHeight="1">
      <c r="A3" s="1"/>
      <c r="B3" s="5">
        <v>1500.0</v>
      </c>
      <c r="C3" s="5">
        <v>1600.0</v>
      </c>
      <c r="D3" s="5">
        <v>1700.0</v>
      </c>
      <c r="E3" s="5">
        <v>1800.0</v>
      </c>
      <c r="F3" s="5">
        <v>1900.0</v>
      </c>
      <c r="G3" s="5">
        <v>2000.0</v>
      </c>
      <c r="H3" s="5">
        <v>2100.0</v>
      </c>
      <c r="I3" s="5">
        <v>2200.0</v>
      </c>
      <c r="J3" s="5">
        <v>2300.0</v>
      </c>
      <c r="K3" s="5">
        <v>2400.0</v>
      </c>
      <c r="L3" s="5">
        <v>2500.0</v>
      </c>
      <c r="M3" s="5">
        <v>2600.0</v>
      </c>
      <c r="N3" s="5">
        <v>2700.0</v>
      </c>
      <c r="O3" s="5">
        <v>2800.0</v>
      </c>
      <c r="P3" s="5">
        <v>2900.0</v>
      </c>
      <c r="Q3" s="5">
        <v>3000.0</v>
      </c>
      <c r="R3" s="5">
        <v>3100.0</v>
      </c>
      <c r="S3" s="5">
        <v>3200.0</v>
      </c>
      <c r="T3" s="5">
        <v>3300.0</v>
      </c>
      <c r="U3" s="5">
        <v>3400.0</v>
      </c>
      <c r="V3" s="5">
        <v>3500.0</v>
      </c>
      <c r="W3" s="5">
        <v>3600.0</v>
      </c>
      <c r="X3" s="5">
        <v>3700.0</v>
      </c>
      <c r="Y3" s="5">
        <v>3800.0</v>
      </c>
      <c r="Z3" s="5">
        <v>3900.0</v>
      </c>
      <c r="AA3" s="5">
        <v>4000.0</v>
      </c>
      <c r="AB3" s="5">
        <v>4100.0</v>
      </c>
      <c r="AC3" s="5">
        <v>4200.0</v>
      </c>
      <c r="AD3" s="5">
        <v>4300.0</v>
      </c>
      <c r="AE3" s="5">
        <v>4400.0</v>
      </c>
      <c r="AF3" s="5">
        <v>4500.0</v>
      </c>
      <c r="AG3" s="5">
        <v>4600.0</v>
      </c>
      <c r="AH3" s="5">
        <v>4700.0</v>
      </c>
      <c r="AI3" s="5">
        <v>4800.0</v>
      </c>
      <c r="AJ3" s="5">
        <v>4900.0</v>
      </c>
      <c r="AK3" s="5">
        <v>5000.0</v>
      </c>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row>
    <row r="4" ht="15.75" customHeight="1">
      <c r="A4" s="5">
        <v>2000.0</v>
      </c>
      <c r="B4" s="12">
        <v>1476.08652</v>
      </c>
      <c r="C4" s="12">
        <v>1503.94211</v>
      </c>
      <c r="D4" s="12">
        <v>1531.7976999999998</v>
      </c>
      <c r="E4" s="12">
        <v>1559.6532899999997</v>
      </c>
      <c r="F4" s="12">
        <v>1587.5088799999999</v>
      </c>
      <c r="G4" s="12">
        <v>1615.36447</v>
      </c>
      <c r="H4" s="12">
        <v>1643.2200599999999</v>
      </c>
      <c r="I4" s="12">
        <v>1671.0756499999998</v>
      </c>
      <c r="J4" s="12">
        <v>1699.6377599999998</v>
      </c>
      <c r="K4" s="12">
        <v>1727.49335</v>
      </c>
      <c r="L4" s="12">
        <v>1755.3489399999999</v>
      </c>
      <c r="M4" s="12">
        <v>1783.2045299999997</v>
      </c>
      <c r="N4" s="12">
        <v>1811.0601199999999</v>
      </c>
      <c r="O4" s="12">
        <v>1838.91571</v>
      </c>
      <c r="P4" s="12">
        <v>1866.76091</v>
      </c>
      <c r="Q4" s="12">
        <v>1894.6164999999999</v>
      </c>
      <c r="R4" s="12">
        <v>1922.4720899999998</v>
      </c>
      <c r="S4" s="12">
        <v>1951.0341999999998</v>
      </c>
      <c r="T4" s="12">
        <v>1978.8897899999997</v>
      </c>
      <c r="U4" s="12">
        <v>2006.7453799999998</v>
      </c>
      <c r="V4" s="12">
        <v>2054.90303</v>
      </c>
      <c r="W4" s="12">
        <v>2082.7586199999996</v>
      </c>
      <c r="X4" s="12">
        <v>2110.6142099999997</v>
      </c>
      <c r="Y4" s="12">
        <v>2138.4698</v>
      </c>
      <c r="Z4" s="12">
        <v>2166.32539</v>
      </c>
      <c r="AA4" s="12">
        <v>2194.18098</v>
      </c>
      <c r="AB4" s="12">
        <v>2222.74309</v>
      </c>
      <c r="AC4" s="12">
        <v>2250.5986799999996</v>
      </c>
      <c r="AD4" s="12">
        <v>2278.4542699999997</v>
      </c>
      <c r="AE4" s="12">
        <v>2306.29947</v>
      </c>
      <c r="AF4" s="12">
        <v>2334.1550599999996</v>
      </c>
      <c r="AG4" s="12">
        <v>2362.0106499999997</v>
      </c>
      <c r="AH4" s="12">
        <v>2389.86624</v>
      </c>
      <c r="AI4" s="12">
        <v>2417.7218299999995</v>
      </c>
      <c r="AJ4" s="12">
        <v>2445.57742</v>
      </c>
      <c r="AK4" s="12">
        <v>2474.13953</v>
      </c>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row>
    <row r="5" ht="15.75" customHeight="1">
      <c r="A5" s="5">
        <v>2100.0</v>
      </c>
      <c r="B5" s="12">
        <v>1514.1658699999998</v>
      </c>
      <c r="C5" s="12">
        <v>1542.02146</v>
      </c>
      <c r="D5" s="12">
        <v>1569.8770499999998</v>
      </c>
      <c r="E5" s="12">
        <v>1597.73264</v>
      </c>
      <c r="F5" s="12">
        <v>1625.5882299999998</v>
      </c>
      <c r="G5" s="12">
        <v>1653.44382</v>
      </c>
      <c r="H5" s="12">
        <v>1681.2994099999999</v>
      </c>
      <c r="I5" s="12">
        <v>1709.155</v>
      </c>
      <c r="J5" s="12">
        <v>1737.7171099999998</v>
      </c>
      <c r="K5" s="12">
        <v>1765.5726999999997</v>
      </c>
      <c r="L5" s="12">
        <v>1793.4282899999998</v>
      </c>
      <c r="M5" s="12">
        <v>1821.28388</v>
      </c>
      <c r="N5" s="12">
        <v>1849.12908</v>
      </c>
      <c r="O5" s="12">
        <v>1876.9846699999998</v>
      </c>
      <c r="P5" s="12">
        <v>1904.8402599999997</v>
      </c>
      <c r="Q5" s="12">
        <v>1932.69585</v>
      </c>
      <c r="R5" s="12">
        <v>1960.55144</v>
      </c>
      <c r="S5" s="12">
        <v>1989.1135499999998</v>
      </c>
      <c r="T5" s="12">
        <v>2037.2712</v>
      </c>
      <c r="U5" s="12">
        <v>2065.12679</v>
      </c>
      <c r="V5" s="12">
        <v>2092.98238</v>
      </c>
      <c r="W5" s="12">
        <v>2120.83797</v>
      </c>
      <c r="X5" s="12">
        <v>2148.6935599999997</v>
      </c>
      <c r="Y5" s="12">
        <v>2176.54915</v>
      </c>
      <c r="Z5" s="12">
        <v>2204.4047399999995</v>
      </c>
      <c r="AA5" s="12">
        <v>2232.2603299999996</v>
      </c>
      <c r="AB5" s="12">
        <v>2260.82244</v>
      </c>
      <c r="AC5" s="12">
        <v>2288.66764</v>
      </c>
      <c r="AD5" s="12">
        <v>2316.52323</v>
      </c>
      <c r="AE5" s="12">
        <v>2344.37882</v>
      </c>
      <c r="AF5" s="12">
        <v>2372.23441</v>
      </c>
      <c r="AG5" s="12">
        <v>2400.0899999999997</v>
      </c>
      <c r="AH5" s="12">
        <v>2427.94559</v>
      </c>
      <c r="AI5" s="12">
        <v>2455.80118</v>
      </c>
      <c r="AJ5" s="12">
        <v>2483.6567699999996</v>
      </c>
      <c r="AK5" s="12">
        <v>2512.21888</v>
      </c>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row>
    <row r="6" ht="15.75" customHeight="1">
      <c r="A6" s="5">
        <v>2200.0</v>
      </c>
      <c r="B6" s="12">
        <v>1552.24522</v>
      </c>
      <c r="C6" s="12">
        <v>1580.10081</v>
      </c>
      <c r="D6" s="12">
        <v>1607.9563999999998</v>
      </c>
      <c r="E6" s="12">
        <v>1635.81199</v>
      </c>
      <c r="F6" s="12">
        <v>1663.6675799999998</v>
      </c>
      <c r="G6" s="12">
        <v>1691.52317</v>
      </c>
      <c r="H6" s="12">
        <v>1719.3787599999998</v>
      </c>
      <c r="I6" s="12">
        <v>1747.23435</v>
      </c>
      <c r="J6" s="12">
        <v>1775.79646</v>
      </c>
      <c r="K6" s="12">
        <v>1803.65205</v>
      </c>
      <c r="L6" s="12">
        <v>1831.49725</v>
      </c>
      <c r="M6" s="12">
        <v>1859.3528399999998</v>
      </c>
      <c r="N6" s="12">
        <v>1887.2084299999997</v>
      </c>
      <c r="O6" s="12">
        <v>1915.06402</v>
      </c>
      <c r="P6" s="12">
        <v>1942.91961</v>
      </c>
      <c r="Q6" s="12">
        <v>1970.7751999999998</v>
      </c>
      <c r="R6" s="12">
        <v>1998.6307899999997</v>
      </c>
      <c r="S6" s="12">
        <v>2047.49496</v>
      </c>
      <c r="T6" s="12">
        <v>2075.35055</v>
      </c>
      <c r="U6" s="12">
        <v>2103.20614</v>
      </c>
      <c r="V6" s="12">
        <v>2131.06173</v>
      </c>
      <c r="W6" s="12">
        <v>2158.91732</v>
      </c>
      <c r="X6" s="12">
        <v>2186.7729099999997</v>
      </c>
      <c r="Y6" s="12">
        <v>2214.6285</v>
      </c>
      <c r="Z6" s="12">
        <v>2242.48409</v>
      </c>
      <c r="AA6" s="12">
        <v>2270.32929</v>
      </c>
      <c r="AB6" s="12">
        <v>2298.8913999999995</v>
      </c>
      <c r="AC6" s="12">
        <v>2326.7469899999996</v>
      </c>
      <c r="AD6" s="12">
        <v>2354.6025799999998</v>
      </c>
      <c r="AE6" s="12">
        <v>2382.45817</v>
      </c>
      <c r="AF6" s="12">
        <v>2410.31376</v>
      </c>
      <c r="AG6" s="12">
        <v>2438.16935</v>
      </c>
      <c r="AH6" s="12">
        <v>2466.02494</v>
      </c>
      <c r="AI6" s="12">
        <v>2493.88053</v>
      </c>
      <c r="AJ6" s="12">
        <v>2521.7361199999996</v>
      </c>
      <c r="AK6" s="12">
        <v>2550.29823</v>
      </c>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row>
    <row r="7" ht="15.75" customHeight="1">
      <c r="A7" s="5">
        <v>2300.0</v>
      </c>
      <c r="B7" s="12">
        <v>1590.32457</v>
      </c>
      <c r="C7" s="12">
        <v>1618.18016</v>
      </c>
      <c r="D7" s="12">
        <v>1646.0357499999998</v>
      </c>
      <c r="E7" s="12">
        <v>1673.89134</v>
      </c>
      <c r="F7" s="12">
        <v>1701.7469299999998</v>
      </c>
      <c r="G7" s="12">
        <v>1729.60252</v>
      </c>
      <c r="H7" s="12">
        <v>1757.4581099999998</v>
      </c>
      <c r="I7" s="12">
        <v>1785.3137</v>
      </c>
      <c r="J7" s="12">
        <v>1813.8654199999999</v>
      </c>
      <c r="K7" s="12">
        <v>1841.7210099999998</v>
      </c>
      <c r="L7" s="12">
        <v>1869.5765999999999</v>
      </c>
      <c r="M7" s="12">
        <v>1897.43219</v>
      </c>
      <c r="N7" s="12">
        <v>1925.2877799999999</v>
      </c>
      <c r="O7" s="12">
        <v>1953.1433699999998</v>
      </c>
      <c r="P7" s="12">
        <v>1980.99896</v>
      </c>
      <c r="Q7" s="12">
        <v>2029.1566099999998</v>
      </c>
      <c r="R7" s="12">
        <v>2057.0121999999997</v>
      </c>
      <c r="S7" s="12">
        <v>2085.57431</v>
      </c>
      <c r="T7" s="12">
        <v>2113.4298999999996</v>
      </c>
      <c r="U7" s="12">
        <v>2141.2854899999998</v>
      </c>
      <c r="V7" s="12">
        <v>2169.1410799999994</v>
      </c>
      <c r="W7" s="12">
        <v>2196.99667</v>
      </c>
      <c r="X7" s="12">
        <v>2224.85226</v>
      </c>
      <c r="Y7" s="12">
        <v>2252.69746</v>
      </c>
      <c r="Z7" s="12">
        <v>2280.5530499999995</v>
      </c>
      <c r="AA7" s="12">
        <v>2308.40864</v>
      </c>
      <c r="AB7" s="12">
        <v>2336.97075</v>
      </c>
      <c r="AC7" s="12">
        <v>2364.8263399999996</v>
      </c>
      <c r="AD7" s="12">
        <v>2392.6819299999997</v>
      </c>
      <c r="AE7" s="12">
        <v>2420.53752</v>
      </c>
      <c r="AF7" s="12">
        <v>2448.3931099999995</v>
      </c>
      <c r="AG7" s="12">
        <v>2476.2487</v>
      </c>
      <c r="AH7" s="12">
        <v>2504.1042899999998</v>
      </c>
      <c r="AI7" s="12">
        <v>2531.95988</v>
      </c>
      <c r="AJ7" s="12">
        <v>2559.81547</v>
      </c>
      <c r="AK7" s="12">
        <v>2588.3775799999994</v>
      </c>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row>
    <row r="8" ht="15.75" customHeight="1">
      <c r="A8" s="5">
        <v>2400.0</v>
      </c>
      <c r="B8" s="12">
        <v>1628.4039199999997</v>
      </c>
      <c r="C8" s="12">
        <v>1656.2595099999999</v>
      </c>
      <c r="D8" s="12">
        <v>1684.1151</v>
      </c>
      <c r="E8" s="12">
        <v>1711.9706899999999</v>
      </c>
      <c r="F8" s="12">
        <v>1739.8262799999998</v>
      </c>
      <c r="G8" s="12">
        <v>1767.68187</v>
      </c>
      <c r="H8" s="12">
        <v>1795.52707</v>
      </c>
      <c r="I8" s="12">
        <v>1823.38266</v>
      </c>
      <c r="J8" s="12">
        <v>1851.9447699999998</v>
      </c>
      <c r="K8" s="12">
        <v>1879.80036</v>
      </c>
      <c r="L8" s="12">
        <v>1907.6559499999998</v>
      </c>
      <c r="M8" s="12">
        <v>1935.5115399999997</v>
      </c>
      <c r="N8" s="12">
        <v>1963.3671299999999</v>
      </c>
      <c r="O8" s="12">
        <v>1991.22272</v>
      </c>
      <c r="P8" s="12">
        <v>2039.3803699999999</v>
      </c>
      <c r="Q8" s="12">
        <v>2067.23596</v>
      </c>
      <c r="R8" s="12">
        <v>2095.09155</v>
      </c>
      <c r="S8" s="12">
        <v>2123.65366</v>
      </c>
      <c r="T8" s="12">
        <v>2151.50925</v>
      </c>
      <c r="U8" s="12">
        <v>2179.3648399999997</v>
      </c>
      <c r="V8" s="12">
        <v>2207.21004</v>
      </c>
      <c r="W8" s="12">
        <v>2235.06563</v>
      </c>
      <c r="X8" s="12">
        <v>2262.9212199999997</v>
      </c>
      <c r="Y8" s="12">
        <v>2290.77681</v>
      </c>
      <c r="Z8" s="12">
        <v>2318.6324</v>
      </c>
      <c r="AA8" s="12">
        <v>2346.4879899999996</v>
      </c>
      <c r="AB8" s="12">
        <v>2375.0501</v>
      </c>
      <c r="AC8" s="12">
        <v>2402.90569</v>
      </c>
      <c r="AD8" s="12">
        <v>2430.7612799999997</v>
      </c>
      <c r="AE8" s="12">
        <v>2458.61687</v>
      </c>
      <c r="AF8" s="12">
        <v>2486.4724599999995</v>
      </c>
      <c r="AG8" s="12">
        <v>2514.3280499999996</v>
      </c>
      <c r="AH8" s="12">
        <v>2542.18364</v>
      </c>
      <c r="AI8" s="12">
        <v>2570.03923</v>
      </c>
      <c r="AJ8" s="12">
        <v>2597.89482</v>
      </c>
      <c r="AK8" s="12">
        <v>2626.44654</v>
      </c>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row>
    <row r="9" ht="15.75" customHeight="1">
      <c r="A9" s="5">
        <v>2500.0</v>
      </c>
      <c r="B9" s="12">
        <v>1666.48327</v>
      </c>
      <c r="C9" s="12">
        <v>1694.3388599999998</v>
      </c>
      <c r="D9" s="12">
        <v>1722.1944499999997</v>
      </c>
      <c r="E9" s="12">
        <v>1750.0396499999997</v>
      </c>
      <c r="F9" s="12">
        <v>1777.89524</v>
      </c>
      <c r="G9" s="12">
        <v>1805.75083</v>
      </c>
      <c r="H9" s="12">
        <v>1833.6064199999998</v>
      </c>
      <c r="I9" s="12">
        <v>1861.4620099999997</v>
      </c>
      <c r="J9" s="12">
        <v>1890.0241199999998</v>
      </c>
      <c r="K9" s="12">
        <v>1917.87971</v>
      </c>
      <c r="L9" s="12">
        <v>1945.7352999999998</v>
      </c>
      <c r="M9" s="12">
        <v>1973.59089</v>
      </c>
      <c r="N9" s="12">
        <v>2001.4464799999998</v>
      </c>
      <c r="O9" s="12">
        <v>2049.6041299999997</v>
      </c>
      <c r="P9" s="12">
        <v>2077.45972</v>
      </c>
      <c r="Q9" s="12">
        <v>2105.31531</v>
      </c>
      <c r="R9" s="12">
        <v>2133.1708999999996</v>
      </c>
      <c r="S9" s="12">
        <v>2161.73301</v>
      </c>
      <c r="T9" s="12">
        <v>2189.5886</v>
      </c>
      <c r="U9" s="12">
        <v>2217.4338</v>
      </c>
      <c r="V9" s="12">
        <v>2245.28939</v>
      </c>
      <c r="W9" s="12">
        <v>2273.14498</v>
      </c>
      <c r="X9" s="12">
        <v>2301.00057</v>
      </c>
      <c r="Y9" s="12">
        <v>2328.85616</v>
      </c>
      <c r="Z9" s="12">
        <v>2356.71175</v>
      </c>
      <c r="AA9" s="12">
        <v>2384.5673399999996</v>
      </c>
      <c r="AB9" s="12">
        <v>2413.12945</v>
      </c>
      <c r="AC9" s="12">
        <v>2440.98504</v>
      </c>
      <c r="AD9" s="12">
        <v>2468.8406299999997</v>
      </c>
      <c r="AE9" s="12">
        <v>2496.69622</v>
      </c>
      <c r="AF9" s="12">
        <v>2524.55181</v>
      </c>
      <c r="AG9" s="12">
        <v>2552.4073999999996</v>
      </c>
      <c r="AH9" s="12">
        <v>2580.2629899999997</v>
      </c>
      <c r="AI9" s="12">
        <v>2608.1185799999994</v>
      </c>
      <c r="AJ9" s="12">
        <v>2635.9637799999996</v>
      </c>
      <c r="AK9" s="12">
        <v>2664.52589</v>
      </c>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row>
    <row r="10" ht="15.75" customHeight="1">
      <c r="A10" s="5">
        <v>2600.0</v>
      </c>
      <c r="B10" s="12">
        <v>1704.5626199999997</v>
      </c>
      <c r="C10" s="12">
        <v>1732.41821</v>
      </c>
      <c r="D10" s="12">
        <v>1760.26341</v>
      </c>
      <c r="E10" s="12">
        <v>1788.119</v>
      </c>
      <c r="F10" s="12">
        <v>1815.9745899999998</v>
      </c>
      <c r="G10" s="12">
        <v>1843.8301799999997</v>
      </c>
      <c r="H10" s="12">
        <v>1871.6857699999998</v>
      </c>
      <c r="I10" s="12">
        <v>1899.54136</v>
      </c>
      <c r="J10" s="12">
        <v>1928.1034699999998</v>
      </c>
      <c r="K10" s="12">
        <v>1955.95906</v>
      </c>
      <c r="L10" s="12">
        <v>1983.8146499999998</v>
      </c>
      <c r="M10" s="12">
        <v>2011.67024</v>
      </c>
      <c r="N10" s="12">
        <v>2059.82789</v>
      </c>
      <c r="O10" s="12">
        <v>2087.6834799999997</v>
      </c>
      <c r="P10" s="12">
        <v>2115.53907</v>
      </c>
      <c r="Q10" s="12">
        <v>2143.39466</v>
      </c>
      <c r="R10" s="12">
        <v>2171.2398599999997</v>
      </c>
      <c r="S10" s="12">
        <v>2199.80197</v>
      </c>
      <c r="T10" s="12">
        <v>2227.6575599999996</v>
      </c>
      <c r="U10" s="12">
        <v>2255.5131499999998</v>
      </c>
      <c r="V10" s="12">
        <v>2283.36874</v>
      </c>
      <c r="W10" s="12">
        <v>2311.2243299999996</v>
      </c>
      <c r="X10" s="12">
        <v>2339.07992</v>
      </c>
      <c r="Y10" s="12">
        <v>2366.93551</v>
      </c>
      <c r="Z10" s="12">
        <v>2394.7911</v>
      </c>
      <c r="AA10" s="12">
        <v>2422.64669</v>
      </c>
      <c r="AB10" s="12">
        <v>2451.2087999999994</v>
      </c>
      <c r="AC10" s="12">
        <v>2479.06439</v>
      </c>
      <c r="AD10" s="12">
        <v>2506.91998</v>
      </c>
      <c r="AE10" s="12">
        <v>2534.77557</v>
      </c>
      <c r="AF10" s="12">
        <v>2562.63116</v>
      </c>
      <c r="AG10" s="12">
        <v>2590.48675</v>
      </c>
      <c r="AH10" s="12">
        <v>2618.33195</v>
      </c>
      <c r="AI10" s="12">
        <v>2646.18754</v>
      </c>
      <c r="AJ10" s="12">
        <v>2674.04313</v>
      </c>
      <c r="AK10" s="12">
        <v>2702.60524</v>
      </c>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row>
    <row r="11" ht="15.75" customHeight="1">
      <c r="A11" s="5">
        <v>2700.0</v>
      </c>
      <c r="B11" s="12">
        <v>1742.63158</v>
      </c>
      <c r="C11" s="12">
        <v>1770.4871699999999</v>
      </c>
      <c r="D11" s="12">
        <v>1798.3427599999998</v>
      </c>
      <c r="E11" s="12">
        <v>1826.19835</v>
      </c>
      <c r="F11" s="12">
        <v>1854.05394</v>
      </c>
      <c r="G11" s="12">
        <v>1881.90953</v>
      </c>
      <c r="H11" s="12">
        <v>1909.7651199999998</v>
      </c>
      <c r="I11" s="12">
        <v>1937.62071</v>
      </c>
      <c r="J11" s="12">
        <v>1966.18282</v>
      </c>
      <c r="K11" s="12">
        <v>1994.0384099999999</v>
      </c>
      <c r="L11" s="12">
        <v>2021.8939999999998</v>
      </c>
      <c r="M11" s="12">
        <v>2070.05165</v>
      </c>
      <c r="N11" s="12">
        <v>2097.90724</v>
      </c>
      <c r="O11" s="12">
        <v>2125.7628299999997</v>
      </c>
      <c r="P11" s="12">
        <v>2153.60803</v>
      </c>
      <c r="Q11" s="12">
        <v>2181.4636199999995</v>
      </c>
      <c r="R11" s="12">
        <v>2209.3192099999997</v>
      </c>
      <c r="S11" s="12">
        <v>2237.88132</v>
      </c>
      <c r="T11" s="12">
        <v>2265.73691</v>
      </c>
      <c r="U11" s="12">
        <v>2293.5924999999997</v>
      </c>
      <c r="V11" s="12">
        <v>2321.44809</v>
      </c>
      <c r="W11" s="12">
        <v>2349.3036799999995</v>
      </c>
      <c r="X11" s="12">
        <v>2377.1592699999997</v>
      </c>
      <c r="Y11" s="12">
        <v>2405.0148599999998</v>
      </c>
      <c r="Z11" s="12">
        <v>2432.87045</v>
      </c>
      <c r="AA11" s="12">
        <v>2460.72604</v>
      </c>
      <c r="AB11" s="12">
        <v>2489.28815</v>
      </c>
      <c r="AC11" s="12">
        <v>2517.1437399999995</v>
      </c>
      <c r="AD11" s="12">
        <v>2544.9993299999996</v>
      </c>
      <c r="AE11" s="12">
        <v>2572.84453</v>
      </c>
      <c r="AF11" s="12">
        <v>2600.7001199999995</v>
      </c>
      <c r="AG11" s="12">
        <v>2628.5557099999996</v>
      </c>
      <c r="AH11" s="12">
        <v>2656.4112999999998</v>
      </c>
      <c r="AI11" s="12">
        <v>2684.26689</v>
      </c>
      <c r="AJ11" s="12">
        <v>2712.12248</v>
      </c>
      <c r="AK11" s="12">
        <v>2740.68459</v>
      </c>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row>
    <row r="12"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row>
    <row r="13" ht="15.75" customHeight="1">
      <c r="A13" s="1"/>
      <c r="B13" s="1"/>
      <c r="C13" s="1" t="s">
        <v>741</v>
      </c>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row>
    <row r="14" ht="15.75" customHeight="1">
      <c r="A14" s="1"/>
      <c r="B14" s="5">
        <v>2250.0</v>
      </c>
      <c r="C14" s="5">
        <v>2350.0</v>
      </c>
      <c r="D14" s="5">
        <v>2450.0</v>
      </c>
      <c r="E14" s="5">
        <v>2550.0</v>
      </c>
      <c r="F14" s="5">
        <v>2650.0</v>
      </c>
      <c r="G14" s="5">
        <v>2750.0</v>
      </c>
      <c r="H14" s="5">
        <v>2850.0</v>
      </c>
      <c r="I14" s="5">
        <v>2950.0</v>
      </c>
      <c r="J14" s="5">
        <v>3050.0</v>
      </c>
      <c r="K14" s="5">
        <v>3150.0</v>
      </c>
      <c r="L14" s="5">
        <v>3250.0</v>
      </c>
      <c r="M14" s="5">
        <v>3350.0</v>
      </c>
      <c r="N14" s="5">
        <v>3450.0</v>
      </c>
      <c r="O14" s="5">
        <v>3550.0</v>
      </c>
      <c r="P14" s="5">
        <v>3650.0</v>
      </c>
      <c r="Q14" s="5">
        <v>3750.0</v>
      </c>
      <c r="R14" s="5">
        <v>3850.0</v>
      </c>
      <c r="S14" s="5">
        <v>3950.0</v>
      </c>
      <c r="T14" s="5">
        <v>4050.0</v>
      </c>
      <c r="U14" s="5">
        <v>4150.0</v>
      </c>
      <c r="V14" s="5">
        <v>4250.0</v>
      </c>
      <c r="W14" s="5">
        <v>4350.0</v>
      </c>
      <c r="X14" s="5">
        <v>4450.0</v>
      </c>
      <c r="Y14" s="5">
        <v>4550.0</v>
      </c>
      <c r="Z14" s="5">
        <v>4650.0</v>
      </c>
      <c r="AA14" s="5">
        <v>4750.0</v>
      </c>
      <c r="AB14" s="5">
        <v>4850.0</v>
      </c>
      <c r="AC14" s="5">
        <v>4950.0</v>
      </c>
      <c r="AD14" s="5">
        <v>5050.0</v>
      </c>
      <c r="AE14" s="5">
        <v>5150.0</v>
      </c>
      <c r="AF14" s="5">
        <v>5250.0</v>
      </c>
      <c r="AG14" s="5">
        <v>5350.0</v>
      </c>
      <c r="AH14" s="5">
        <v>5450.0</v>
      </c>
      <c r="AI14" s="5">
        <v>5550.0</v>
      </c>
      <c r="AJ14" s="5">
        <v>5650.0</v>
      </c>
      <c r="AK14" s="5">
        <v>5750.0</v>
      </c>
      <c r="AL14" s="5">
        <v>5850.0</v>
      </c>
      <c r="AM14" s="5">
        <v>5950.0</v>
      </c>
      <c r="AN14" s="5">
        <v>6050.0</v>
      </c>
      <c r="AO14" s="5">
        <v>6150.0</v>
      </c>
      <c r="AP14" s="5">
        <v>6250.0</v>
      </c>
      <c r="AQ14" s="5">
        <v>6350.0</v>
      </c>
      <c r="AR14" s="5">
        <v>6450.0</v>
      </c>
      <c r="AS14" s="5">
        <v>6550.0</v>
      </c>
      <c r="AT14" s="5">
        <v>6650.0</v>
      </c>
      <c r="AU14" s="5">
        <v>6750.0</v>
      </c>
      <c r="AV14" s="5">
        <v>6850.0</v>
      </c>
      <c r="AW14" s="5">
        <v>6950.0</v>
      </c>
      <c r="AX14" s="5">
        <v>7050.0</v>
      </c>
      <c r="AY14" s="5">
        <v>7150.0</v>
      </c>
      <c r="AZ14" s="5">
        <v>7250.0</v>
      </c>
      <c r="BA14" s="5">
        <v>7350.0</v>
      </c>
      <c r="BB14" s="5">
        <v>7450.0</v>
      </c>
      <c r="BC14" s="5">
        <v>7500.0</v>
      </c>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row>
    <row r="15" ht="15.75" customHeight="1">
      <c r="A15" s="5">
        <v>2000.0</v>
      </c>
      <c r="B15" s="12">
        <v>2190.212</v>
      </c>
      <c r="C15" s="12">
        <v>2223.9795</v>
      </c>
      <c r="D15" s="12">
        <v>2257.747</v>
      </c>
      <c r="E15" s="12">
        <v>2291.5144999999998</v>
      </c>
      <c r="F15" s="12">
        <v>2325.2819999999997</v>
      </c>
      <c r="G15" s="12">
        <v>2359.0494999999996</v>
      </c>
      <c r="H15" s="12">
        <v>2392.817</v>
      </c>
      <c r="I15" s="12">
        <v>2426.5845</v>
      </c>
      <c r="J15" s="12">
        <v>2460.3416099999995</v>
      </c>
      <c r="K15" s="12">
        <v>2494.1091099999994</v>
      </c>
      <c r="L15" s="12">
        <v>2528.93639</v>
      </c>
      <c r="M15" s="12">
        <v>2562.7038900000002</v>
      </c>
      <c r="N15" s="12">
        <v>2596.47139</v>
      </c>
      <c r="O15" s="12">
        <v>2630.23889</v>
      </c>
      <c r="P15" s="12">
        <v>2664.00639</v>
      </c>
      <c r="Q15" s="12">
        <v>2697.7635</v>
      </c>
      <c r="R15" s="12">
        <v>2731.531</v>
      </c>
      <c r="S15" s="12">
        <v>2765.2985</v>
      </c>
      <c r="T15" s="12">
        <v>2799.066</v>
      </c>
      <c r="U15" s="12">
        <v>2832.8334999999997</v>
      </c>
      <c r="V15" s="12">
        <v>2866.6009999999997</v>
      </c>
      <c r="W15" s="12">
        <v>2900.3684999999996</v>
      </c>
      <c r="X15" s="12">
        <v>2934.1256099999996</v>
      </c>
      <c r="Y15" s="12">
        <v>2967.8931099999995</v>
      </c>
      <c r="Z15" s="12">
        <v>3002.72039</v>
      </c>
      <c r="AA15" s="12">
        <v>3036.48789</v>
      </c>
      <c r="AB15" s="12">
        <v>3070.25539</v>
      </c>
      <c r="AC15" s="12">
        <v>3104.02289</v>
      </c>
      <c r="AD15" s="12">
        <v>3137.79039</v>
      </c>
      <c r="AE15" s="12">
        <v>3212.16201</v>
      </c>
      <c r="AF15" s="12">
        <v>3245.9191199999996</v>
      </c>
      <c r="AG15" s="12">
        <v>3279.6866199999995</v>
      </c>
      <c r="AH15" s="12">
        <v>3313.45412</v>
      </c>
      <c r="AI15" s="12">
        <v>3347.22162</v>
      </c>
      <c r="AJ15" s="12">
        <v>3380.9891199999997</v>
      </c>
      <c r="AK15" s="12">
        <v>3414.7566199999997</v>
      </c>
      <c r="AL15" s="12">
        <v>3448.5241199999996</v>
      </c>
      <c r="AM15" s="12">
        <v>3483.34101</v>
      </c>
      <c r="AN15" s="12">
        <v>3517.10851</v>
      </c>
      <c r="AO15" s="12">
        <v>3550.87601</v>
      </c>
      <c r="AP15" s="12">
        <v>3584.64351</v>
      </c>
      <c r="AQ15" s="12">
        <v>3618.41101</v>
      </c>
      <c r="AR15" s="12">
        <v>3652.1785099999997</v>
      </c>
      <c r="AS15" s="12">
        <v>3685.9460099999997</v>
      </c>
      <c r="AT15" s="12">
        <v>3719.7031199999997</v>
      </c>
      <c r="AU15" s="12">
        <v>3753.4706199999996</v>
      </c>
      <c r="AV15" s="12">
        <v>3787.2381199999995</v>
      </c>
      <c r="AW15" s="12">
        <v>3821.0056199999995</v>
      </c>
      <c r="AX15" s="12">
        <v>3854.77312</v>
      </c>
      <c r="AY15" s="12">
        <v>3888.5406199999998</v>
      </c>
      <c r="AZ15" s="12">
        <v>3922.3081199999997</v>
      </c>
      <c r="BA15" s="12">
        <v>3957.1353999999997</v>
      </c>
      <c r="BB15" s="12">
        <v>3990.8925099999997</v>
      </c>
      <c r="BC15" s="12">
        <v>4007.7762599999996</v>
      </c>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row>
    <row r="16" ht="15.75" customHeight="1">
      <c r="A16" s="5">
        <v>2100.0</v>
      </c>
      <c r="B16" s="12">
        <v>2243.49192</v>
      </c>
      <c r="C16" s="12">
        <v>2277.25942</v>
      </c>
      <c r="D16" s="12">
        <v>2311.0269200000002</v>
      </c>
      <c r="E16" s="12">
        <v>2344.79442</v>
      </c>
      <c r="F16" s="12">
        <v>2378.56192</v>
      </c>
      <c r="G16" s="12">
        <v>2412.32942</v>
      </c>
      <c r="H16" s="12">
        <v>2446.0865299999996</v>
      </c>
      <c r="I16" s="12">
        <v>2479.85403</v>
      </c>
      <c r="J16" s="12">
        <v>2513.62153</v>
      </c>
      <c r="K16" s="12">
        <v>2547.38903</v>
      </c>
      <c r="L16" s="12">
        <v>2582.21631</v>
      </c>
      <c r="M16" s="12">
        <v>2615.9838099999997</v>
      </c>
      <c r="N16" s="12">
        <v>2649.7513099999996</v>
      </c>
      <c r="O16" s="12">
        <v>2683.50842</v>
      </c>
      <c r="P16" s="12">
        <v>2717.27592</v>
      </c>
      <c r="Q16" s="12">
        <v>2751.04342</v>
      </c>
      <c r="R16" s="12">
        <v>2784.81092</v>
      </c>
      <c r="S16" s="12">
        <v>2818.57842</v>
      </c>
      <c r="T16" s="12">
        <v>2852.34592</v>
      </c>
      <c r="U16" s="12">
        <v>2886.11342</v>
      </c>
      <c r="V16" s="12">
        <v>2919.8705299999997</v>
      </c>
      <c r="W16" s="12">
        <v>2953.6380299999996</v>
      </c>
      <c r="X16" s="12">
        <v>2987.4055299999995</v>
      </c>
      <c r="Y16" s="12">
        <v>3021.17303</v>
      </c>
      <c r="Z16" s="12">
        <v>3056.00031</v>
      </c>
      <c r="AA16" s="12">
        <v>3089.76781</v>
      </c>
      <c r="AB16" s="12">
        <v>3143.8373699999997</v>
      </c>
      <c r="AC16" s="12">
        <v>3197.8965399999997</v>
      </c>
      <c r="AD16" s="12">
        <v>3231.66404</v>
      </c>
      <c r="AE16" s="12">
        <v>3265.43154</v>
      </c>
      <c r="AF16" s="12">
        <v>3299.19904</v>
      </c>
      <c r="AG16" s="12">
        <v>3332.96654</v>
      </c>
      <c r="AH16" s="12">
        <v>3366.73404</v>
      </c>
      <c r="AI16" s="12">
        <v>3400.5015399999997</v>
      </c>
      <c r="AJ16" s="12">
        <v>3434.2690399999997</v>
      </c>
      <c r="AK16" s="12">
        <v>3468.0261499999997</v>
      </c>
      <c r="AL16" s="12">
        <v>3501.7936499999996</v>
      </c>
      <c r="AM16" s="12">
        <v>3536.6209299999996</v>
      </c>
      <c r="AN16" s="12">
        <v>3570.3884299999995</v>
      </c>
      <c r="AO16" s="12">
        <v>3604.1559299999994</v>
      </c>
      <c r="AP16" s="12">
        <v>3637.92343</v>
      </c>
      <c r="AQ16" s="12">
        <v>3671.6909299999998</v>
      </c>
      <c r="AR16" s="12">
        <v>3705.4480399999998</v>
      </c>
      <c r="AS16" s="12">
        <v>3739.2155399999997</v>
      </c>
      <c r="AT16" s="12">
        <v>3772.98304</v>
      </c>
      <c r="AU16" s="12">
        <v>3806.75054</v>
      </c>
      <c r="AV16" s="12">
        <v>3840.51804</v>
      </c>
      <c r="AW16" s="12">
        <v>3874.28554</v>
      </c>
      <c r="AX16" s="12">
        <v>3908.05304</v>
      </c>
      <c r="AY16" s="12">
        <v>3941.81015</v>
      </c>
      <c r="AZ16" s="12">
        <v>3975.5776499999997</v>
      </c>
      <c r="BA16" s="12">
        <v>4010.4049299999997</v>
      </c>
      <c r="BB16" s="12">
        <v>4044.1724299999996</v>
      </c>
      <c r="BC16" s="12">
        <v>4061.0561799999996</v>
      </c>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row>
    <row r="17" ht="15.75" customHeight="1">
      <c r="A17" s="5">
        <v>2200.0</v>
      </c>
      <c r="B17" s="12">
        <v>2296.77184</v>
      </c>
      <c r="C17" s="12">
        <v>2330.53934</v>
      </c>
      <c r="D17" s="12">
        <v>2364.3068399999997</v>
      </c>
      <c r="E17" s="12">
        <v>2398.06395</v>
      </c>
      <c r="F17" s="12">
        <v>2431.83145</v>
      </c>
      <c r="G17" s="12">
        <v>2465.59895</v>
      </c>
      <c r="H17" s="12">
        <v>2499.36645</v>
      </c>
      <c r="I17" s="12">
        <v>2533.13395</v>
      </c>
      <c r="J17" s="12">
        <v>2566.90145</v>
      </c>
      <c r="K17" s="12">
        <v>2600.66895</v>
      </c>
      <c r="L17" s="12">
        <v>2635.48584</v>
      </c>
      <c r="M17" s="12">
        <v>2669.2533399999998</v>
      </c>
      <c r="N17" s="12">
        <v>2703.0208399999997</v>
      </c>
      <c r="O17" s="12">
        <v>2736.7883399999996</v>
      </c>
      <c r="P17" s="12">
        <v>2770.5558399999995</v>
      </c>
      <c r="Q17" s="12">
        <v>2804.32334</v>
      </c>
      <c r="R17" s="12">
        <v>2838.09084</v>
      </c>
      <c r="S17" s="12">
        <v>2871.84795</v>
      </c>
      <c r="T17" s="12">
        <v>2905.61545</v>
      </c>
      <c r="U17" s="12">
        <v>2939.38295</v>
      </c>
      <c r="V17" s="12">
        <v>2973.15045</v>
      </c>
      <c r="W17" s="12">
        <v>3006.91795</v>
      </c>
      <c r="X17" s="12">
        <v>3040.68545</v>
      </c>
      <c r="Y17" s="12">
        <v>3074.45295</v>
      </c>
      <c r="Z17" s="12">
        <v>3149.88435</v>
      </c>
      <c r="AA17" s="12">
        <v>3183.64146</v>
      </c>
      <c r="AB17" s="12">
        <v>3217.4089599999998</v>
      </c>
      <c r="AC17" s="12">
        <v>3251.1764599999997</v>
      </c>
      <c r="AD17" s="12">
        <v>3284.9439599999996</v>
      </c>
      <c r="AE17" s="12">
        <v>3318.7114599999995</v>
      </c>
      <c r="AF17" s="12">
        <v>3352.4789599999995</v>
      </c>
      <c r="AG17" s="12">
        <v>3386.24646</v>
      </c>
      <c r="AH17" s="12">
        <v>3420.0139599999998</v>
      </c>
      <c r="AI17" s="12">
        <v>3453.77107</v>
      </c>
      <c r="AJ17" s="12">
        <v>3487.5385699999997</v>
      </c>
      <c r="AK17" s="12">
        <v>3521.3060699999996</v>
      </c>
      <c r="AL17" s="12">
        <v>3555.07357</v>
      </c>
      <c r="AM17" s="12">
        <v>3589.90085</v>
      </c>
      <c r="AN17" s="12">
        <v>3623.66835</v>
      </c>
      <c r="AO17" s="12">
        <v>3657.43585</v>
      </c>
      <c r="AP17" s="12">
        <v>3691.1929599999994</v>
      </c>
      <c r="AQ17" s="12">
        <v>3724.96046</v>
      </c>
      <c r="AR17" s="12">
        <v>3758.7279599999997</v>
      </c>
      <c r="AS17" s="12">
        <v>3792.4954599999996</v>
      </c>
      <c r="AT17" s="12">
        <v>3826.2629599999996</v>
      </c>
      <c r="AU17" s="12">
        <v>3860.0304599999995</v>
      </c>
      <c r="AV17" s="12">
        <v>3893.7979599999994</v>
      </c>
      <c r="AW17" s="12">
        <v>3927.55507</v>
      </c>
      <c r="AX17" s="12">
        <v>3961.32257</v>
      </c>
      <c r="AY17" s="12">
        <v>3995.0900699999997</v>
      </c>
      <c r="AZ17" s="12">
        <v>4028.8575699999997</v>
      </c>
      <c r="BA17" s="12">
        <v>4063.6848499999996</v>
      </c>
      <c r="BB17" s="12">
        <v>4097.45235</v>
      </c>
      <c r="BC17" s="12">
        <v>4114.3360999999995</v>
      </c>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row>
    <row r="18" ht="15.75" customHeight="1">
      <c r="A18" s="5">
        <v>2300.0</v>
      </c>
      <c r="B18" s="12">
        <v>2350.05176</v>
      </c>
      <c r="C18" s="12">
        <v>2383.80887</v>
      </c>
      <c r="D18" s="12">
        <v>2417.5763699999998</v>
      </c>
      <c r="E18" s="12">
        <v>2451.3438699999997</v>
      </c>
      <c r="F18" s="12">
        <v>2485.1113699999996</v>
      </c>
      <c r="G18" s="12">
        <v>2518.8788699999996</v>
      </c>
      <c r="H18" s="12">
        <v>2552.64637</v>
      </c>
      <c r="I18" s="12">
        <v>2586.41387</v>
      </c>
      <c r="J18" s="12">
        <v>2620.17098</v>
      </c>
      <c r="K18" s="12">
        <v>2653.93848</v>
      </c>
      <c r="L18" s="12">
        <v>2688.76576</v>
      </c>
      <c r="M18" s="12">
        <v>2722.53326</v>
      </c>
      <c r="N18" s="12">
        <v>2756.30076</v>
      </c>
      <c r="O18" s="12">
        <v>2790.06826</v>
      </c>
      <c r="P18" s="12">
        <v>2823.83576</v>
      </c>
      <c r="Q18" s="12">
        <v>2857.5928699999995</v>
      </c>
      <c r="R18" s="12">
        <v>2891.36037</v>
      </c>
      <c r="S18" s="12">
        <v>2925.12787</v>
      </c>
      <c r="T18" s="12">
        <v>2958.8953699999997</v>
      </c>
      <c r="U18" s="12">
        <v>2992.6628699999997</v>
      </c>
      <c r="V18" s="12">
        <v>3026.4303699999996</v>
      </c>
      <c r="W18" s="12">
        <v>3060.1978699999995</v>
      </c>
      <c r="X18" s="12">
        <v>3134.5591</v>
      </c>
      <c r="Y18" s="12">
        <v>3168.3266</v>
      </c>
      <c r="Z18" s="12">
        <v>3203.15388</v>
      </c>
      <c r="AA18" s="12">
        <v>3236.9213799999998</v>
      </c>
      <c r="AB18" s="12">
        <v>3270.6888799999997</v>
      </c>
      <c r="AC18" s="12">
        <v>3304.4563799999996</v>
      </c>
      <c r="AD18" s="12">
        <v>3338.22388</v>
      </c>
      <c r="AE18" s="12">
        <v>3371.99138</v>
      </c>
      <c r="AF18" s="12">
        <v>3405.7484899999995</v>
      </c>
      <c r="AG18" s="12">
        <v>3439.5159899999994</v>
      </c>
      <c r="AH18" s="12">
        <v>3473.28349</v>
      </c>
      <c r="AI18" s="12">
        <v>3507.0509899999997</v>
      </c>
      <c r="AJ18" s="12">
        <v>3540.8184899999997</v>
      </c>
      <c r="AK18" s="12">
        <v>3574.5859899999996</v>
      </c>
      <c r="AL18" s="12">
        <v>3608.3534899999995</v>
      </c>
      <c r="AM18" s="12">
        <v>3643.17038</v>
      </c>
      <c r="AN18" s="12">
        <v>3676.93788</v>
      </c>
      <c r="AO18" s="12">
        <v>3710.70538</v>
      </c>
      <c r="AP18" s="12">
        <v>3744.47288</v>
      </c>
      <c r="AQ18" s="12">
        <v>3778.2403799999997</v>
      </c>
      <c r="AR18" s="12">
        <v>3812.0078799999997</v>
      </c>
      <c r="AS18" s="12">
        <v>3845.7753799999996</v>
      </c>
      <c r="AT18" s="12">
        <v>3879.5324899999996</v>
      </c>
      <c r="AU18" s="12">
        <v>3913.2999899999995</v>
      </c>
      <c r="AV18" s="12">
        <v>3947.0674899999995</v>
      </c>
      <c r="AW18" s="12">
        <v>3980.8349899999994</v>
      </c>
      <c r="AX18" s="12">
        <v>4014.6024899999998</v>
      </c>
      <c r="AY18" s="12">
        <v>4048.3699899999997</v>
      </c>
      <c r="AZ18" s="12">
        <v>4082.1374899999996</v>
      </c>
      <c r="BA18" s="12">
        <v>4116.96477</v>
      </c>
      <c r="BB18" s="12">
        <v>4150.72188</v>
      </c>
      <c r="BC18" s="12">
        <v>4167.60563</v>
      </c>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row>
    <row r="19" ht="15.75" customHeight="1">
      <c r="A19" s="5">
        <v>2400.0</v>
      </c>
      <c r="B19" s="12">
        <v>2403.32129</v>
      </c>
      <c r="C19" s="12">
        <v>2437.08879</v>
      </c>
      <c r="D19" s="12">
        <v>2470.85629</v>
      </c>
      <c r="E19" s="12">
        <v>2504.62379</v>
      </c>
      <c r="F19" s="12">
        <v>2538.39129</v>
      </c>
      <c r="G19" s="12">
        <v>2572.15879</v>
      </c>
      <c r="H19" s="12">
        <v>2605.9158999999995</v>
      </c>
      <c r="I19" s="12">
        <v>2639.6834</v>
      </c>
      <c r="J19" s="12">
        <v>2673.4509</v>
      </c>
      <c r="K19" s="12">
        <v>2707.2183999999997</v>
      </c>
      <c r="L19" s="12">
        <v>2742.0456799999997</v>
      </c>
      <c r="M19" s="12">
        <v>2775.8131799999996</v>
      </c>
      <c r="N19" s="12">
        <v>2809.5806799999996</v>
      </c>
      <c r="O19" s="12">
        <v>2843.33779</v>
      </c>
      <c r="P19" s="12">
        <v>2877.10529</v>
      </c>
      <c r="Q19" s="12">
        <v>2910.87279</v>
      </c>
      <c r="R19" s="12">
        <v>2944.64029</v>
      </c>
      <c r="S19" s="12">
        <v>2978.4077899999997</v>
      </c>
      <c r="T19" s="12">
        <v>3012.17529</v>
      </c>
      <c r="U19" s="12">
        <v>3045.94279</v>
      </c>
      <c r="V19" s="12">
        <v>3120.31441</v>
      </c>
      <c r="W19" s="12">
        <v>3154.0715199999995</v>
      </c>
      <c r="X19" s="12">
        <v>3187.8390199999994</v>
      </c>
      <c r="Y19" s="12">
        <v>3221.60652</v>
      </c>
      <c r="Z19" s="12">
        <v>3256.4338</v>
      </c>
      <c r="AA19" s="12">
        <v>3290.2012999999997</v>
      </c>
      <c r="AB19" s="12">
        <v>3323.9687999999996</v>
      </c>
      <c r="AC19" s="12">
        <v>3357.7259099999997</v>
      </c>
      <c r="AD19" s="12">
        <v>3391.4934099999996</v>
      </c>
      <c r="AE19" s="12">
        <v>3425.26091</v>
      </c>
      <c r="AF19" s="12">
        <v>3459.02841</v>
      </c>
      <c r="AG19" s="12">
        <v>3492.79591</v>
      </c>
      <c r="AH19" s="12">
        <v>3526.5634099999997</v>
      </c>
      <c r="AI19" s="12">
        <v>3560.3309099999997</v>
      </c>
      <c r="AJ19" s="12">
        <v>3594.0984099999996</v>
      </c>
      <c r="AK19" s="12">
        <v>3627.8555199999996</v>
      </c>
      <c r="AL19" s="12">
        <v>3661.6230199999995</v>
      </c>
      <c r="AM19" s="12">
        <v>3696.4502999999995</v>
      </c>
      <c r="AN19" s="12">
        <v>3730.2177999999994</v>
      </c>
      <c r="AO19" s="12">
        <v>3763.9852999999994</v>
      </c>
      <c r="AP19" s="12">
        <v>3797.7527999999998</v>
      </c>
      <c r="AQ19" s="12">
        <v>3831.5202999999997</v>
      </c>
      <c r="AR19" s="12">
        <v>3865.2774099999997</v>
      </c>
      <c r="AS19" s="12">
        <v>3899.0449099999996</v>
      </c>
      <c r="AT19" s="12">
        <v>3932.8124099999995</v>
      </c>
      <c r="AU19" s="12">
        <v>3966.57991</v>
      </c>
      <c r="AV19" s="12">
        <v>4000.34741</v>
      </c>
      <c r="AW19" s="12">
        <v>4034.11491</v>
      </c>
      <c r="AX19" s="12">
        <v>4067.8824099999997</v>
      </c>
      <c r="AY19" s="12">
        <v>4101.64991</v>
      </c>
      <c r="AZ19" s="12">
        <v>4135.40702</v>
      </c>
      <c r="BA19" s="12">
        <v>4170.234299999999</v>
      </c>
      <c r="BB19" s="12">
        <v>4204.001799999999</v>
      </c>
      <c r="BC19" s="12">
        <v>4220.885549999999</v>
      </c>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row>
    <row r="20" ht="15.75" customHeight="1">
      <c r="A20" s="5">
        <v>2500.0</v>
      </c>
      <c r="B20" s="12">
        <v>2456.60121</v>
      </c>
      <c r="C20" s="12">
        <v>2490.3687099999997</v>
      </c>
      <c r="D20" s="12">
        <v>2524.1362099999997</v>
      </c>
      <c r="E20" s="12">
        <v>2557.89332</v>
      </c>
      <c r="F20" s="12">
        <v>2591.66082</v>
      </c>
      <c r="G20" s="12">
        <v>2625.42832</v>
      </c>
      <c r="H20" s="12">
        <v>2659.19582</v>
      </c>
      <c r="I20" s="12">
        <v>2692.96332</v>
      </c>
      <c r="J20" s="12">
        <v>2726.7308199999998</v>
      </c>
      <c r="K20" s="12">
        <v>2760.4983199999997</v>
      </c>
      <c r="L20" s="12">
        <v>2795.3255999999997</v>
      </c>
      <c r="M20" s="12">
        <v>2829.0827099999997</v>
      </c>
      <c r="N20" s="12">
        <v>2862.8502099999996</v>
      </c>
      <c r="O20" s="12">
        <v>2896.6177099999995</v>
      </c>
      <c r="P20" s="12">
        <v>2930.3852099999995</v>
      </c>
      <c r="Q20" s="12">
        <v>2964.15271</v>
      </c>
      <c r="R20" s="12">
        <v>2997.9202099999998</v>
      </c>
      <c r="S20" s="12">
        <v>3031.6877099999997</v>
      </c>
      <c r="T20" s="12">
        <v>3085.7468799999997</v>
      </c>
      <c r="U20" s="12">
        <v>3139.8164399999996</v>
      </c>
      <c r="V20" s="12">
        <v>3173.58394</v>
      </c>
      <c r="W20" s="12">
        <v>3207.35144</v>
      </c>
      <c r="X20" s="12">
        <v>3241.11894</v>
      </c>
      <c r="Y20" s="12">
        <v>3274.8864399999998</v>
      </c>
      <c r="Z20" s="12">
        <v>3309.7137199999997</v>
      </c>
      <c r="AA20" s="12">
        <v>3343.4708299999998</v>
      </c>
      <c r="AB20" s="12">
        <v>3377.2383299999997</v>
      </c>
      <c r="AC20" s="12">
        <v>3411.0058299999996</v>
      </c>
      <c r="AD20" s="12">
        <v>3444.7733299999995</v>
      </c>
      <c r="AE20" s="12">
        <v>3478.5408299999995</v>
      </c>
      <c r="AF20" s="12">
        <v>3512.3083299999994</v>
      </c>
      <c r="AG20" s="12">
        <v>3546.0758299999993</v>
      </c>
      <c r="AH20" s="12">
        <v>3579.8433299999997</v>
      </c>
      <c r="AI20" s="12">
        <v>3613.6004399999997</v>
      </c>
      <c r="AJ20" s="12">
        <v>3647.3679399999996</v>
      </c>
      <c r="AK20" s="12">
        <v>3681.1354399999996</v>
      </c>
      <c r="AL20" s="12">
        <v>3714.90294</v>
      </c>
      <c r="AM20" s="12">
        <v>3749.73022</v>
      </c>
      <c r="AN20" s="12">
        <v>3783.49772</v>
      </c>
      <c r="AO20" s="12">
        <v>3817.2652199999998</v>
      </c>
      <c r="AP20" s="12">
        <v>3851.0223299999993</v>
      </c>
      <c r="AQ20" s="12">
        <v>3884.7898299999997</v>
      </c>
      <c r="AR20" s="12">
        <v>3918.5573299999996</v>
      </c>
      <c r="AS20" s="12">
        <v>3952.3248299999996</v>
      </c>
      <c r="AT20" s="12">
        <v>3986.0923299999995</v>
      </c>
      <c r="AU20" s="12">
        <v>4019.8598299999994</v>
      </c>
      <c r="AV20" s="12">
        <v>4053.6273299999993</v>
      </c>
      <c r="AW20" s="12">
        <v>4087.38444</v>
      </c>
      <c r="AX20" s="12">
        <v>4121.15194</v>
      </c>
      <c r="AY20" s="12">
        <v>4154.91944</v>
      </c>
      <c r="AZ20" s="12">
        <v>4188.68694</v>
      </c>
      <c r="BA20" s="12">
        <v>4223.51422</v>
      </c>
      <c r="BB20" s="12">
        <v>4257.281719999999</v>
      </c>
      <c r="BC20" s="12">
        <v>4274.165469999999</v>
      </c>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row>
    <row r="21" ht="15.75" customHeight="1">
      <c r="A21" s="5">
        <v>2600.0</v>
      </c>
      <c r="B21" s="12">
        <v>2509.8811299999998</v>
      </c>
      <c r="C21" s="12">
        <v>2543.6382399999998</v>
      </c>
      <c r="D21" s="12">
        <v>2577.4057399999997</v>
      </c>
      <c r="E21" s="12">
        <v>2611.1732399999996</v>
      </c>
      <c r="F21" s="12">
        <v>2644.9407399999996</v>
      </c>
      <c r="G21" s="12">
        <v>2678.7082399999995</v>
      </c>
      <c r="H21" s="12">
        <v>2712.47574</v>
      </c>
      <c r="I21" s="12">
        <v>2746.24324</v>
      </c>
      <c r="J21" s="12">
        <v>2780.00035</v>
      </c>
      <c r="K21" s="12">
        <v>2813.7678499999997</v>
      </c>
      <c r="L21" s="12">
        <v>2848.5951299999997</v>
      </c>
      <c r="M21" s="12">
        <v>2882.36263</v>
      </c>
      <c r="N21" s="12">
        <v>2916.13013</v>
      </c>
      <c r="O21" s="12">
        <v>2949.89763</v>
      </c>
      <c r="P21" s="12">
        <v>2983.66513</v>
      </c>
      <c r="Q21" s="12">
        <v>3017.4222399999994</v>
      </c>
      <c r="R21" s="12">
        <v>3071.4918</v>
      </c>
      <c r="S21" s="12">
        <v>3125.5613599999997</v>
      </c>
      <c r="T21" s="12">
        <v>3159.3288599999996</v>
      </c>
      <c r="U21" s="12">
        <v>3193.0963599999995</v>
      </c>
      <c r="V21" s="12">
        <v>3226.8638599999995</v>
      </c>
      <c r="W21" s="12">
        <v>3260.6313599999994</v>
      </c>
      <c r="X21" s="12">
        <v>3294.38847</v>
      </c>
      <c r="Y21" s="12">
        <v>3328.15597</v>
      </c>
      <c r="Z21" s="12">
        <v>3362.9832499999998</v>
      </c>
      <c r="AA21" s="12">
        <v>3396.7507499999997</v>
      </c>
      <c r="AB21" s="12">
        <v>3430.5182499999996</v>
      </c>
      <c r="AC21" s="12">
        <v>3464.2857499999996</v>
      </c>
      <c r="AD21" s="12">
        <v>3498.05325</v>
      </c>
      <c r="AE21" s="12">
        <v>3531.82075</v>
      </c>
      <c r="AF21" s="12">
        <v>3565.5778599999994</v>
      </c>
      <c r="AG21" s="12">
        <v>3599.3453599999993</v>
      </c>
      <c r="AH21" s="12">
        <v>3633.1128599999997</v>
      </c>
      <c r="AI21" s="12">
        <v>3666.8803599999997</v>
      </c>
      <c r="AJ21" s="12">
        <v>3700.6478599999996</v>
      </c>
      <c r="AK21" s="12">
        <v>3734.4153599999995</v>
      </c>
      <c r="AL21" s="12">
        <v>3768.1828599999994</v>
      </c>
      <c r="AM21" s="12">
        <v>3802.9997499999995</v>
      </c>
      <c r="AN21" s="12">
        <v>3836.76725</v>
      </c>
      <c r="AO21" s="12">
        <v>3870.53475</v>
      </c>
      <c r="AP21" s="12">
        <v>3904.3022499999997</v>
      </c>
      <c r="AQ21" s="12">
        <v>3938.0697499999997</v>
      </c>
      <c r="AR21" s="12">
        <v>3971.8372499999996</v>
      </c>
      <c r="AS21" s="12">
        <v>4005.6047499999995</v>
      </c>
      <c r="AT21" s="12">
        <v>4039.3618599999995</v>
      </c>
      <c r="AU21" s="12">
        <v>4073.1293599999995</v>
      </c>
      <c r="AV21" s="12">
        <v>4106.89686</v>
      </c>
      <c r="AW21" s="12">
        <v>4140.66436</v>
      </c>
      <c r="AX21" s="12">
        <v>4174.43186</v>
      </c>
      <c r="AY21" s="12">
        <v>4208.19936</v>
      </c>
      <c r="AZ21" s="12">
        <v>4241.9668599999995</v>
      </c>
      <c r="BA21" s="12">
        <v>4276.78375</v>
      </c>
      <c r="BB21" s="12">
        <v>4310.5512499999995</v>
      </c>
      <c r="BC21" s="12">
        <v>4327.4349999999995</v>
      </c>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row>
    <row r="22" ht="15.75" customHeight="1">
      <c r="A22" s="5">
        <v>2700.0</v>
      </c>
      <c r="B22" s="12">
        <v>2563.15066</v>
      </c>
      <c r="C22" s="12">
        <v>2596.9181599999997</v>
      </c>
      <c r="D22" s="12">
        <v>2630.6856599999996</v>
      </c>
      <c r="E22" s="12">
        <v>2664.45316</v>
      </c>
      <c r="F22" s="12">
        <v>2698.22066</v>
      </c>
      <c r="G22" s="12">
        <v>2731.98816</v>
      </c>
      <c r="H22" s="12">
        <v>2765.7452699999994</v>
      </c>
      <c r="I22" s="12">
        <v>2799.51277</v>
      </c>
      <c r="J22" s="12">
        <v>2833.2802699999997</v>
      </c>
      <c r="K22" s="12">
        <v>2867.0477699999997</v>
      </c>
      <c r="L22" s="12">
        <v>2901.8750499999996</v>
      </c>
      <c r="M22" s="12">
        <v>2935.6425499999996</v>
      </c>
      <c r="N22" s="12">
        <v>2969.4100499999995</v>
      </c>
      <c r="O22" s="12">
        <v>3003.16716</v>
      </c>
      <c r="P22" s="12">
        <v>3036.93466</v>
      </c>
      <c r="Q22" s="12">
        <v>3111.30628</v>
      </c>
      <c r="R22" s="12">
        <v>3145.0737799999997</v>
      </c>
      <c r="S22" s="12">
        <v>3178.8412799999996</v>
      </c>
      <c r="T22" s="12">
        <v>3212.6087799999996</v>
      </c>
      <c r="U22" s="12">
        <v>3246.37628</v>
      </c>
      <c r="V22" s="12">
        <v>3280.13339</v>
      </c>
      <c r="W22" s="12">
        <v>3313.90089</v>
      </c>
      <c r="X22" s="12">
        <v>3347.66839</v>
      </c>
      <c r="Y22" s="12">
        <v>3381.43589</v>
      </c>
      <c r="Z22" s="12">
        <v>3416.26317</v>
      </c>
      <c r="AA22" s="12">
        <v>3450.03067</v>
      </c>
      <c r="AB22" s="12">
        <v>3483.79817</v>
      </c>
      <c r="AC22" s="12">
        <v>3517.5552799999996</v>
      </c>
      <c r="AD22" s="12">
        <v>3551.3227799999995</v>
      </c>
      <c r="AE22" s="12">
        <v>3585.09028</v>
      </c>
      <c r="AF22" s="12">
        <v>3618.85778</v>
      </c>
      <c r="AG22" s="12">
        <v>3652.6252799999997</v>
      </c>
      <c r="AH22" s="12">
        <v>3686.3927799999997</v>
      </c>
      <c r="AI22" s="12">
        <v>3720.1602799999996</v>
      </c>
      <c r="AJ22" s="12">
        <v>3753.9277799999995</v>
      </c>
      <c r="AK22" s="12">
        <v>3787.68489</v>
      </c>
      <c r="AL22" s="12">
        <v>3821.45239</v>
      </c>
      <c r="AM22" s="12">
        <v>3856.27967</v>
      </c>
      <c r="AN22" s="12">
        <v>3890.04717</v>
      </c>
      <c r="AO22" s="12">
        <v>3923.8146699999998</v>
      </c>
      <c r="AP22" s="12">
        <v>3957.58217</v>
      </c>
      <c r="AQ22" s="12">
        <v>3991.34967</v>
      </c>
      <c r="AR22" s="12">
        <v>4025.1067799999996</v>
      </c>
      <c r="AS22" s="12">
        <v>4058.8742799999995</v>
      </c>
      <c r="AT22" s="12">
        <v>4092.6417799999995</v>
      </c>
      <c r="AU22" s="12">
        <v>4126.40928</v>
      </c>
      <c r="AV22" s="12">
        <v>4160.17678</v>
      </c>
      <c r="AW22" s="12">
        <v>4193.94428</v>
      </c>
      <c r="AX22" s="12">
        <v>4227.71178</v>
      </c>
      <c r="AY22" s="12">
        <v>4261.4792800000005</v>
      </c>
      <c r="AZ22" s="12">
        <v>4295.23639</v>
      </c>
      <c r="BA22" s="12">
        <v>4330.06367</v>
      </c>
      <c r="BB22" s="12">
        <v>4363.8311699999995</v>
      </c>
      <c r="BC22" s="12">
        <v>4342.5628400000005</v>
      </c>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row>
    <row r="24" ht="15.75" customHeight="1">
      <c r="A24" s="1"/>
      <c r="B24" s="1"/>
      <c r="C24" s="1" t="s">
        <v>742</v>
      </c>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row>
    <row r="25" ht="15.75" customHeight="1">
      <c r="A25" s="1"/>
      <c r="B25" s="5">
        <v>2800.0</v>
      </c>
      <c r="C25" s="5">
        <v>2900.0</v>
      </c>
      <c r="D25" s="5">
        <v>3000.0</v>
      </c>
      <c r="E25" s="5">
        <v>3100.0</v>
      </c>
      <c r="F25" s="5">
        <v>3200.0</v>
      </c>
      <c r="G25" s="5">
        <v>3300.0</v>
      </c>
      <c r="H25" s="5">
        <v>3400.0</v>
      </c>
      <c r="I25" s="5">
        <v>3500.0</v>
      </c>
      <c r="J25" s="5">
        <v>3600.0</v>
      </c>
      <c r="K25" s="5">
        <v>3700.0</v>
      </c>
      <c r="L25" s="5">
        <v>3800.0</v>
      </c>
      <c r="M25" s="5">
        <v>3900.0</v>
      </c>
      <c r="N25" s="5">
        <v>4000.0</v>
      </c>
      <c r="O25" s="5">
        <v>4100.0</v>
      </c>
      <c r="P25" s="5">
        <v>4200.0</v>
      </c>
      <c r="Q25" s="5">
        <v>4300.0</v>
      </c>
      <c r="R25" s="5">
        <v>4400.0</v>
      </c>
      <c r="S25" s="5">
        <v>4500.0</v>
      </c>
      <c r="T25" s="5">
        <v>4600.0</v>
      </c>
      <c r="U25" s="5">
        <v>4700.0</v>
      </c>
      <c r="V25" s="5">
        <v>4800.0</v>
      </c>
      <c r="W25" s="5">
        <v>4900.0</v>
      </c>
      <c r="X25" s="5">
        <v>5000.0</v>
      </c>
      <c r="Y25" s="5">
        <v>5100.0</v>
      </c>
      <c r="Z25" s="5">
        <v>5200.0</v>
      </c>
      <c r="AA25" s="5">
        <v>5300.0</v>
      </c>
      <c r="AB25" s="5">
        <v>5400.0</v>
      </c>
      <c r="AC25" s="5">
        <v>5500.0</v>
      </c>
      <c r="AD25" s="5">
        <v>5600.0</v>
      </c>
      <c r="AE25" s="5">
        <v>5700.0</v>
      </c>
      <c r="AF25" s="5">
        <v>5800.0</v>
      </c>
      <c r="AG25" s="5">
        <v>5900.0</v>
      </c>
      <c r="AH25" s="5">
        <v>6000.0</v>
      </c>
      <c r="AI25" s="5">
        <v>6100.0</v>
      </c>
      <c r="AJ25" s="5">
        <v>6200.0</v>
      </c>
      <c r="AK25" s="5">
        <v>6300.0</v>
      </c>
      <c r="AL25" s="5">
        <v>6400.0</v>
      </c>
      <c r="AM25" s="5">
        <v>6500.0</v>
      </c>
      <c r="AN25" s="5">
        <v>6600.0</v>
      </c>
      <c r="AO25" s="5">
        <v>6700.0</v>
      </c>
      <c r="AP25" s="5">
        <v>6800.0</v>
      </c>
      <c r="AQ25" s="5">
        <v>6900.0</v>
      </c>
      <c r="AR25" s="5">
        <v>7000.0</v>
      </c>
      <c r="AS25" s="5">
        <v>7100.0</v>
      </c>
      <c r="AT25" s="5">
        <v>7200.0</v>
      </c>
      <c r="AU25" s="5">
        <v>7300.0</v>
      </c>
      <c r="AV25" s="5">
        <v>7400.0</v>
      </c>
      <c r="AW25" s="5">
        <v>7500.0</v>
      </c>
      <c r="AX25" s="5">
        <v>7600.0</v>
      </c>
      <c r="AY25" s="5">
        <v>7700.0</v>
      </c>
      <c r="AZ25" s="5">
        <v>7800.0</v>
      </c>
      <c r="BA25" s="5">
        <v>7900.0</v>
      </c>
      <c r="BB25" s="5">
        <v>8000.0</v>
      </c>
      <c r="BC25" s="5">
        <v>8100.0</v>
      </c>
      <c r="BD25" s="5">
        <v>8200.0</v>
      </c>
      <c r="BE25" s="5">
        <v>8300.0</v>
      </c>
      <c r="BF25" s="5">
        <v>8400.0</v>
      </c>
      <c r="BG25" s="5">
        <v>8500.0</v>
      </c>
      <c r="BH25" s="5">
        <v>8600.0</v>
      </c>
      <c r="BI25" s="5">
        <v>8700.0</v>
      </c>
      <c r="BJ25" s="5">
        <v>8800.0</v>
      </c>
      <c r="BK25" s="5">
        <v>8900.0</v>
      </c>
      <c r="BL25" s="5">
        <v>9000.0</v>
      </c>
      <c r="BM25" s="5">
        <v>9100.0</v>
      </c>
      <c r="BN25" s="5">
        <v>9200.0</v>
      </c>
      <c r="BO25" s="5">
        <v>9300.0</v>
      </c>
      <c r="BP25" s="5">
        <v>9400.0</v>
      </c>
      <c r="BQ25" s="5">
        <v>9500.0</v>
      </c>
      <c r="BR25" s="5">
        <v>9600.0</v>
      </c>
      <c r="BS25" s="5">
        <v>9700.0</v>
      </c>
      <c r="BT25" s="5">
        <v>9800.0</v>
      </c>
      <c r="BU25" s="5">
        <v>9900.0</v>
      </c>
      <c r="BV25" s="5">
        <v>10000.0</v>
      </c>
      <c r="BW25" s="1"/>
      <c r="BX25" s="1"/>
      <c r="BY25" s="1"/>
      <c r="BZ25" s="1"/>
      <c r="CA25" s="1"/>
      <c r="CB25" s="1"/>
      <c r="CC25" s="1"/>
      <c r="CD25" s="1"/>
    </row>
    <row r="26" ht="15.75" customHeight="1">
      <c r="A26" s="5">
        <v>2000.0</v>
      </c>
      <c r="B26" s="12">
        <v>2573.23935</v>
      </c>
      <c r="C26" s="12">
        <v>2601.09494</v>
      </c>
      <c r="D26" s="12">
        <v>2628.9505299999996</v>
      </c>
      <c r="E26" s="12">
        <v>2656.8061199999997</v>
      </c>
      <c r="F26" s="12">
        <v>2684.66171</v>
      </c>
      <c r="G26" s="12">
        <v>2712.5172999999995</v>
      </c>
      <c r="H26" s="12">
        <v>2740.3624999999997</v>
      </c>
      <c r="I26" s="12">
        <v>2768.21809</v>
      </c>
      <c r="J26" s="12">
        <v>2796.0736799999995</v>
      </c>
      <c r="K26" s="12">
        <v>2823.9292699999996</v>
      </c>
      <c r="L26" s="12">
        <v>2851.7848599999998</v>
      </c>
      <c r="M26" s="12">
        <v>2879.64045</v>
      </c>
      <c r="N26" s="12">
        <v>2907.49604</v>
      </c>
      <c r="O26" s="12">
        <v>2935.3516299999997</v>
      </c>
      <c r="P26" s="12">
        <v>2963.20722</v>
      </c>
      <c r="Q26" s="12">
        <v>2991.06281</v>
      </c>
      <c r="R26" s="12">
        <v>3020.33144</v>
      </c>
      <c r="S26" s="12">
        <v>3048.1870299999996</v>
      </c>
      <c r="T26" s="12">
        <v>3076.0426199999997</v>
      </c>
      <c r="U26" s="12">
        <v>3103.89821</v>
      </c>
      <c r="V26" s="12">
        <v>3131.7537999999995</v>
      </c>
      <c r="W26" s="12">
        <v>3159.5989999999997</v>
      </c>
      <c r="X26" s="12">
        <v>3187.45459</v>
      </c>
      <c r="Y26" s="12">
        <v>3215.3101799999995</v>
      </c>
      <c r="Z26" s="12">
        <v>3243.1657699999996</v>
      </c>
      <c r="AA26" s="12">
        <v>3271.0213599999997</v>
      </c>
      <c r="AB26" s="12">
        <v>3298.87695</v>
      </c>
      <c r="AC26" s="12">
        <v>3326.73254</v>
      </c>
      <c r="AD26" s="12">
        <v>3354.5881299999996</v>
      </c>
      <c r="AE26" s="12">
        <v>3382.4437199999998</v>
      </c>
      <c r="AF26" s="12">
        <v>3410.29931</v>
      </c>
      <c r="AG26" s="12">
        <v>3438.1548999999995</v>
      </c>
      <c r="AH26" s="12">
        <v>3466.0104899999997</v>
      </c>
      <c r="AI26" s="12">
        <v>3493.8660799999993</v>
      </c>
      <c r="AJ26" s="12">
        <v>3523.13471</v>
      </c>
      <c r="AK26" s="12">
        <v>3550.9902999999995</v>
      </c>
      <c r="AL26" s="12">
        <v>3578.8354999999997</v>
      </c>
      <c r="AM26" s="12">
        <v>3606.69109</v>
      </c>
      <c r="AN26" s="12">
        <v>3634.5466799999995</v>
      </c>
      <c r="AO26" s="12">
        <v>3682.7043299999996</v>
      </c>
      <c r="AP26" s="12">
        <v>3710.55992</v>
      </c>
      <c r="AQ26" s="12">
        <v>3758.71757</v>
      </c>
      <c r="AR26" s="12">
        <v>3786.57316</v>
      </c>
      <c r="AS26" s="12">
        <v>3814.4287499999996</v>
      </c>
      <c r="AT26" s="12">
        <v>3842.2843399999997</v>
      </c>
      <c r="AU26" s="12">
        <v>3870.13993</v>
      </c>
      <c r="AV26" s="12">
        <v>3897.9955199999995</v>
      </c>
      <c r="AW26" s="12">
        <v>3925.8511099999996</v>
      </c>
      <c r="AX26" s="12">
        <v>3953.7066999999997</v>
      </c>
      <c r="AY26" s="12">
        <v>3981.56229</v>
      </c>
      <c r="AZ26" s="12">
        <v>4009.4074899999996</v>
      </c>
      <c r="BA26" s="12">
        <v>4037.2630799999997</v>
      </c>
      <c r="BB26" s="12">
        <v>4066.5317099999997</v>
      </c>
      <c r="BC26" s="12">
        <v>4094.3872999999994</v>
      </c>
      <c r="BD26" s="12">
        <v>4122.2428899999995</v>
      </c>
      <c r="BE26" s="12">
        <v>4150.09848</v>
      </c>
      <c r="BF26" s="12">
        <v>4177.95407</v>
      </c>
      <c r="BG26" s="12">
        <v>4205.80966</v>
      </c>
      <c r="BH26" s="12">
        <v>4233.66525</v>
      </c>
      <c r="BI26" s="12">
        <v>4261.52084</v>
      </c>
      <c r="BJ26" s="12">
        <v>4289.376429999999</v>
      </c>
      <c r="BK26" s="12">
        <v>4317.23202</v>
      </c>
      <c r="BL26" s="12">
        <v>4345.08761</v>
      </c>
      <c r="BM26" s="12">
        <v>4372.9432</v>
      </c>
      <c r="BN26" s="12">
        <v>4400.7884</v>
      </c>
      <c r="BO26" s="12">
        <v>4428.65438</v>
      </c>
      <c r="BP26" s="12">
        <v>4456.49958</v>
      </c>
      <c r="BQ26" s="12">
        <v>4484.35517</v>
      </c>
      <c r="BR26" s="12">
        <v>4512.21076</v>
      </c>
      <c r="BS26" s="12">
        <v>4540.066349999999</v>
      </c>
      <c r="BT26" s="12">
        <v>4569.33498</v>
      </c>
      <c r="BU26" s="12">
        <v>4597.19057</v>
      </c>
      <c r="BV26" s="12">
        <v>4625.046159999999</v>
      </c>
      <c r="BW26" s="1"/>
      <c r="BX26" s="1"/>
      <c r="BY26" s="1"/>
      <c r="BZ26" s="1"/>
      <c r="CA26" s="1"/>
      <c r="CB26" s="1"/>
      <c r="CC26" s="1"/>
      <c r="CD26" s="1"/>
    </row>
    <row r="27" ht="15.75" customHeight="1">
      <c r="A27" s="5">
        <v>2100.0</v>
      </c>
      <c r="B27" s="12">
        <v>2636.8053699999996</v>
      </c>
      <c r="C27" s="12">
        <v>2664.6609599999997</v>
      </c>
      <c r="D27" s="12">
        <v>2692.51655</v>
      </c>
      <c r="E27" s="12">
        <v>2720.37214</v>
      </c>
      <c r="F27" s="12">
        <v>2748.22773</v>
      </c>
      <c r="G27" s="12">
        <v>2776.0833199999997</v>
      </c>
      <c r="H27" s="12">
        <v>2803.93891</v>
      </c>
      <c r="I27" s="12">
        <v>2831.7945</v>
      </c>
      <c r="J27" s="12">
        <v>2859.6500899999996</v>
      </c>
      <c r="K27" s="12">
        <v>2887.5056799999998</v>
      </c>
      <c r="L27" s="12">
        <v>2915.35088</v>
      </c>
      <c r="M27" s="12">
        <v>2943.2064699999996</v>
      </c>
      <c r="N27" s="12">
        <v>2971.0620599999997</v>
      </c>
      <c r="O27" s="12">
        <v>2998.91765</v>
      </c>
      <c r="P27" s="12">
        <v>3026.7732399999995</v>
      </c>
      <c r="Q27" s="12">
        <v>3054.6288299999997</v>
      </c>
      <c r="R27" s="12">
        <v>3083.8974599999997</v>
      </c>
      <c r="S27" s="12">
        <v>3111.75305</v>
      </c>
      <c r="T27" s="12">
        <v>3139.60864</v>
      </c>
      <c r="U27" s="12">
        <v>3167.46423</v>
      </c>
      <c r="V27" s="12">
        <v>3195.3198199999997</v>
      </c>
      <c r="W27" s="12">
        <v>3223.17541</v>
      </c>
      <c r="X27" s="12">
        <v>3251.031</v>
      </c>
      <c r="Y27" s="12">
        <v>3278.8865899999996</v>
      </c>
      <c r="Z27" s="12">
        <v>3306.73179</v>
      </c>
      <c r="AA27" s="12">
        <v>3334.58738</v>
      </c>
      <c r="AB27" s="12">
        <v>3362.4429699999996</v>
      </c>
      <c r="AC27" s="12">
        <v>3390.2985599999997</v>
      </c>
      <c r="AD27" s="12">
        <v>3418.15415</v>
      </c>
      <c r="AE27" s="12">
        <v>3446.0097399999995</v>
      </c>
      <c r="AF27" s="12">
        <v>3473.8653299999996</v>
      </c>
      <c r="AG27" s="12">
        <v>3501.7209199999998</v>
      </c>
      <c r="AH27" s="12">
        <v>3529.57651</v>
      </c>
      <c r="AI27" s="12">
        <v>3557.4321</v>
      </c>
      <c r="AJ27" s="12">
        <v>3586.70073</v>
      </c>
      <c r="AK27" s="12">
        <v>3634.8583799999997</v>
      </c>
      <c r="AL27" s="12">
        <v>3662.71397</v>
      </c>
      <c r="AM27" s="12">
        <v>3710.8716199999994</v>
      </c>
      <c r="AN27" s="12">
        <v>3738.7168199999996</v>
      </c>
      <c r="AO27" s="12">
        <v>3766.5827999999997</v>
      </c>
      <c r="AP27" s="12">
        <v>3794.428</v>
      </c>
      <c r="AQ27" s="12">
        <v>3822.2835899999995</v>
      </c>
      <c r="AR27" s="12">
        <v>3850.1391799999997</v>
      </c>
      <c r="AS27" s="12">
        <v>3877.9947699999993</v>
      </c>
      <c r="AT27" s="12">
        <v>3905.8503599999995</v>
      </c>
      <c r="AU27" s="12">
        <v>3933.70595</v>
      </c>
      <c r="AV27" s="12">
        <v>3961.5615399999997</v>
      </c>
      <c r="AW27" s="12">
        <v>3989.41713</v>
      </c>
      <c r="AX27" s="12">
        <v>4017.27272</v>
      </c>
      <c r="AY27" s="12">
        <v>4045.1283099999996</v>
      </c>
      <c r="AZ27" s="12">
        <v>4072.9838999999997</v>
      </c>
      <c r="BA27" s="12">
        <v>4100.839489999999</v>
      </c>
      <c r="BB27" s="12">
        <v>4130.10812</v>
      </c>
      <c r="BC27" s="12">
        <v>4157.96371</v>
      </c>
      <c r="BD27" s="12">
        <v>4185.80891</v>
      </c>
      <c r="BE27" s="12">
        <v>4213.6645</v>
      </c>
      <c r="BF27" s="12">
        <v>4241.52009</v>
      </c>
      <c r="BG27" s="12">
        <v>4269.375679999999</v>
      </c>
      <c r="BH27" s="12">
        <v>4297.23127</v>
      </c>
      <c r="BI27" s="12">
        <v>4325.086859999999</v>
      </c>
      <c r="BJ27" s="12">
        <v>4352.94245</v>
      </c>
      <c r="BK27" s="12">
        <v>4380.79804</v>
      </c>
      <c r="BL27" s="12">
        <v>4408.65363</v>
      </c>
      <c r="BM27" s="12">
        <v>4436.509219999999</v>
      </c>
      <c r="BN27" s="12">
        <v>4464.36481</v>
      </c>
      <c r="BO27" s="12">
        <v>4492.2204</v>
      </c>
      <c r="BP27" s="12">
        <v>4520.075989999999</v>
      </c>
      <c r="BQ27" s="12">
        <v>4547.9315799999995</v>
      </c>
      <c r="BR27" s="12">
        <v>4575.78717</v>
      </c>
      <c r="BS27" s="12">
        <v>4603.632369999999</v>
      </c>
      <c r="BT27" s="12">
        <v>4632.91139</v>
      </c>
      <c r="BU27" s="12">
        <v>4660.75659</v>
      </c>
      <c r="BV27" s="12">
        <v>4688.612179999999</v>
      </c>
      <c r="BW27" s="1"/>
      <c r="BX27" s="1"/>
      <c r="BY27" s="1"/>
      <c r="BZ27" s="1"/>
      <c r="CA27" s="1"/>
      <c r="CB27" s="1"/>
      <c r="CC27" s="1"/>
      <c r="CD27" s="1"/>
    </row>
    <row r="28" ht="15.75" customHeight="1">
      <c r="A28" s="5">
        <v>2200.0</v>
      </c>
      <c r="B28" s="12">
        <v>2700.3713900000002</v>
      </c>
      <c r="C28" s="12">
        <v>2728.22698</v>
      </c>
      <c r="D28" s="12">
        <v>2756.08257</v>
      </c>
      <c r="E28" s="12">
        <v>2783.9381599999997</v>
      </c>
      <c r="F28" s="12">
        <v>2811.79375</v>
      </c>
      <c r="G28" s="12">
        <v>2839.64934</v>
      </c>
      <c r="H28" s="12">
        <v>2867.5049299999996</v>
      </c>
      <c r="I28" s="12">
        <v>2895.3605199999997</v>
      </c>
      <c r="J28" s="12">
        <v>2923.2161099999994</v>
      </c>
      <c r="K28" s="12">
        <v>2951.0717</v>
      </c>
      <c r="L28" s="12">
        <v>2978.92729</v>
      </c>
      <c r="M28" s="12">
        <v>3006.7828799999997</v>
      </c>
      <c r="N28" s="12">
        <v>3034.63847</v>
      </c>
      <c r="O28" s="12">
        <v>3062.4940599999995</v>
      </c>
      <c r="P28" s="12">
        <v>3090.3392599999997</v>
      </c>
      <c r="Q28" s="12">
        <v>3118.20524</v>
      </c>
      <c r="R28" s="12">
        <v>3147.46348</v>
      </c>
      <c r="S28" s="12">
        <v>3175.31907</v>
      </c>
      <c r="T28" s="12">
        <v>3203.1746599999997</v>
      </c>
      <c r="U28" s="12">
        <v>3231.03025</v>
      </c>
      <c r="V28" s="12">
        <v>3258.88584</v>
      </c>
      <c r="W28" s="12">
        <v>3286.7414299999996</v>
      </c>
      <c r="X28" s="12">
        <v>3314.5970199999997</v>
      </c>
      <c r="Y28" s="12">
        <v>3342.4526099999994</v>
      </c>
      <c r="Z28" s="12">
        <v>3370.3082</v>
      </c>
      <c r="AA28" s="12">
        <v>3398.16379</v>
      </c>
      <c r="AB28" s="12">
        <v>3426.0193799999997</v>
      </c>
      <c r="AC28" s="12">
        <v>3453.87497</v>
      </c>
      <c r="AD28" s="12">
        <v>3481.72017</v>
      </c>
      <c r="AE28" s="12">
        <v>3509.5757599999997</v>
      </c>
      <c r="AF28" s="12">
        <v>3537.43135</v>
      </c>
      <c r="AG28" s="12">
        <v>3565.28694</v>
      </c>
      <c r="AH28" s="12">
        <v>3613.4445899999996</v>
      </c>
      <c r="AI28" s="12">
        <v>3641.3001799999997</v>
      </c>
      <c r="AJ28" s="12">
        <v>3690.8708699999997</v>
      </c>
      <c r="AK28" s="12">
        <v>3718.7264599999994</v>
      </c>
      <c r="AL28" s="12">
        <v>3746.5820499999995</v>
      </c>
      <c r="AM28" s="12">
        <v>3774.43764</v>
      </c>
      <c r="AN28" s="12">
        <v>3802.2932299999998</v>
      </c>
      <c r="AO28" s="12">
        <v>3830.14882</v>
      </c>
      <c r="AP28" s="12">
        <v>3858.0044099999996</v>
      </c>
      <c r="AQ28" s="12">
        <v>3885.8599999999997</v>
      </c>
      <c r="AR28" s="12">
        <v>3913.71559</v>
      </c>
      <c r="AS28" s="12">
        <v>3941.5711799999995</v>
      </c>
      <c r="AT28" s="12">
        <v>3969.4267699999996</v>
      </c>
      <c r="AU28" s="12">
        <v>3997.27197</v>
      </c>
      <c r="AV28" s="12">
        <v>4025.1275599999994</v>
      </c>
      <c r="AW28" s="12">
        <v>4052.9831499999996</v>
      </c>
      <c r="AX28" s="12">
        <v>4080.8387399999997</v>
      </c>
      <c r="AY28" s="12">
        <v>4108.694329999999</v>
      </c>
      <c r="AZ28" s="12">
        <v>4136.5499199999995</v>
      </c>
      <c r="BA28" s="12">
        <v>4164.40551</v>
      </c>
      <c r="BB28" s="12">
        <v>4193.67414</v>
      </c>
      <c r="BC28" s="12">
        <v>4221.52973</v>
      </c>
      <c r="BD28" s="12">
        <v>4249.385319999999</v>
      </c>
      <c r="BE28" s="12">
        <v>4277.2409099999995</v>
      </c>
      <c r="BF28" s="12">
        <v>4305.0965</v>
      </c>
      <c r="BG28" s="12">
        <v>4332.95209</v>
      </c>
      <c r="BH28" s="12">
        <v>4360.80768</v>
      </c>
      <c r="BI28" s="12">
        <v>4388.65288</v>
      </c>
      <c r="BJ28" s="12">
        <v>4416.508469999999</v>
      </c>
      <c r="BK28" s="12">
        <v>4444.36406</v>
      </c>
      <c r="BL28" s="12">
        <v>4472.21965</v>
      </c>
      <c r="BM28" s="12">
        <v>4500.075239999999</v>
      </c>
      <c r="BN28" s="12">
        <v>4527.93083</v>
      </c>
      <c r="BO28" s="12">
        <v>4555.786419999999</v>
      </c>
      <c r="BP28" s="12">
        <v>4583.64201</v>
      </c>
      <c r="BQ28" s="12">
        <v>4611.4976</v>
      </c>
      <c r="BR28" s="12">
        <v>4639.35319</v>
      </c>
      <c r="BS28" s="12">
        <v>4667.20878</v>
      </c>
      <c r="BT28" s="12">
        <v>4696.4774099999995</v>
      </c>
      <c r="BU28" s="12">
        <v>4724.333</v>
      </c>
      <c r="BV28" s="12">
        <v>4752.18859</v>
      </c>
      <c r="BW28" s="1"/>
      <c r="BX28" s="1"/>
      <c r="BY28" s="1"/>
      <c r="BZ28" s="1"/>
      <c r="CA28" s="1"/>
      <c r="CB28" s="1"/>
      <c r="CC28" s="1"/>
      <c r="CD28" s="1"/>
    </row>
    <row r="29" ht="15.75" customHeight="1">
      <c r="A29" s="5">
        <v>2300.0</v>
      </c>
      <c r="B29" s="12">
        <v>2763.9477999999995</v>
      </c>
      <c r="C29" s="12">
        <v>2791.80339</v>
      </c>
      <c r="D29" s="12">
        <v>2819.65898</v>
      </c>
      <c r="E29" s="12">
        <v>2847.5041799999995</v>
      </c>
      <c r="F29" s="12">
        <v>2875.3597699999996</v>
      </c>
      <c r="G29" s="12">
        <v>2903.2153599999997</v>
      </c>
      <c r="H29" s="12">
        <v>2931.07095</v>
      </c>
      <c r="I29" s="12">
        <v>2958.92654</v>
      </c>
      <c r="J29" s="12">
        <v>2986.78213</v>
      </c>
      <c r="K29" s="12">
        <v>3014.6377199999997</v>
      </c>
      <c r="L29" s="12">
        <v>3042.49331</v>
      </c>
      <c r="M29" s="12">
        <v>3070.3488999999995</v>
      </c>
      <c r="N29" s="12">
        <v>3098.2044899999996</v>
      </c>
      <c r="O29" s="12">
        <v>3126.0600799999997</v>
      </c>
      <c r="P29" s="12">
        <v>3153.91567</v>
      </c>
      <c r="Q29" s="12">
        <v>3181.77126</v>
      </c>
      <c r="R29" s="12">
        <v>3211.03989</v>
      </c>
      <c r="S29" s="12">
        <v>3238.8850899999998</v>
      </c>
      <c r="T29" s="12">
        <v>3266.75107</v>
      </c>
      <c r="U29" s="12">
        <v>3294.5962699999995</v>
      </c>
      <c r="V29" s="12">
        <v>3322.4518599999997</v>
      </c>
      <c r="W29" s="12">
        <v>3350.30745</v>
      </c>
      <c r="X29" s="12">
        <v>3378.16304</v>
      </c>
      <c r="Y29" s="12">
        <v>3406.01863</v>
      </c>
      <c r="Z29" s="12">
        <v>3433.8742199999997</v>
      </c>
      <c r="AA29" s="12">
        <v>3461.72981</v>
      </c>
      <c r="AB29" s="12">
        <v>3489.5853999999995</v>
      </c>
      <c r="AC29" s="12">
        <v>3517.4409899999996</v>
      </c>
      <c r="AD29" s="12">
        <v>3545.2965799999997</v>
      </c>
      <c r="AE29" s="12">
        <v>3593.45423</v>
      </c>
      <c r="AF29" s="12">
        <v>3621.30982</v>
      </c>
      <c r="AG29" s="12">
        <v>3669.4674699999996</v>
      </c>
      <c r="AH29" s="12">
        <v>3697.3230599999997</v>
      </c>
      <c r="AI29" s="12">
        <v>3725.16826</v>
      </c>
      <c r="AJ29" s="12">
        <v>3754.44728</v>
      </c>
      <c r="AK29" s="12">
        <v>3782.29248</v>
      </c>
      <c r="AL29" s="12">
        <v>3810.1480699999997</v>
      </c>
      <c r="AM29" s="12">
        <v>3838.00366</v>
      </c>
      <c r="AN29" s="12">
        <v>3865.8592499999995</v>
      </c>
      <c r="AO29" s="12">
        <v>3893.7148399999996</v>
      </c>
      <c r="AP29" s="12">
        <v>3921.5704299999998</v>
      </c>
      <c r="AQ29" s="12">
        <v>3949.4260199999994</v>
      </c>
      <c r="AR29" s="12">
        <v>3977.2816099999995</v>
      </c>
      <c r="AS29" s="12">
        <v>4005.1372</v>
      </c>
      <c r="AT29" s="12">
        <v>4032.99279</v>
      </c>
      <c r="AU29" s="12">
        <v>4060.84838</v>
      </c>
      <c r="AV29" s="12">
        <v>4088.7039699999996</v>
      </c>
      <c r="AW29" s="12">
        <v>4116.54917</v>
      </c>
      <c r="AX29" s="12">
        <v>4144.41515</v>
      </c>
      <c r="AY29" s="12">
        <v>4172.26035</v>
      </c>
      <c r="AZ29" s="12">
        <v>4200.11594</v>
      </c>
      <c r="BA29" s="12">
        <v>4227.97153</v>
      </c>
      <c r="BB29" s="12">
        <v>4257.240159999999</v>
      </c>
      <c r="BC29" s="12">
        <v>4285.0957499999995</v>
      </c>
      <c r="BD29" s="12">
        <v>4312.9513400000005</v>
      </c>
      <c r="BE29" s="12">
        <v>4340.80693</v>
      </c>
      <c r="BF29" s="12">
        <v>4368.66252</v>
      </c>
      <c r="BG29" s="12">
        <v>4396.518109999999</v>
      </c>
      <c r="BH29" s="12">
        <v>4424.3737</v>
      </c>
      <c r="BI29" s="12">
        <v>4452.229289999999</v>
      </c>
      <c r="BJ29" s="12">
        <v>4480.084879999999</v>
      </c>
      <c r="BK29" s="12">
        <v>4507.94047</v>
      </c>
      <c r="BL29" s="12">
        <v>4535.785669999999</v>
      </c>
      <c r="BM29" s="12">
        <v>4563.641259999999</v>
      </c>
      <c r="BN29" s="12">
        <v>4591.4968499999995</v>
      </c>
      <c r="BO29" s="12">
        <v>4619.35244</v>
      </c>
      <c r="BP29" s="12">
        <v>4647.20803</v>
      </c>
      <c r="BQ29" s="12">
        <v>4675.06362</v>
      </c>
      <c r="BR29" s="12">
        <v>4702.91921</v>
      </c>
      <c r="BS29" s="12">
        <v>4730.774799999999</v>
      </c>
      <c r="BT29" s="12">
        <v>4760.04343</v>
      </c>
      <c r="BU29" s="12">
        <v>4787.89902</v>
      </c>
      <c r="BV29" s="12">
        <v>4815.754609999999</v>
      </c>
      <c r="BW29" s="1"/>
      <c r="BX29" s="1"/>
      <c r="BY29" s="1"/>
      <c r="BZ29" s="1"/>
      <c r="CA29" s="1"/>
      <c r="CB29" s="1"/>
      <c r="CC29" s="1"/>
      <c r="CD29" s="1"/>
    </row>
    <row r="30" ht="15.75" customHeight="1">
      <c r="A30" s="5">
        <v>2400.0</v>
      </c>
      <c r="B30" s="12">
        <v>2827.51382</v>
      </c>
      <c r="C30" s="12">
        <v>2855.36941</v>
      </c>
      <c r="D30" s="12">
        <v>2883.225</v>
      </c>
      <c r="E30" s="12">
        <v>2911.0805899999996</v>
      </c>
      <c r="F30" s="12">
        <v>2938.9361799999997</v>
      </c>
      <c r="G30" s="12">
        <v>2966.79177</v>
      </c>
      <c r="H30" s="12">
        <v>2994.6473599999995</v>
      </c>
      <c r="I30" s="12">
        <v>3022.4925599999997</v>
      </c>
      <c r="J30" s="12">
        <v>3050.34815</v>
      </c>
      <c r="K30" s="12">
        <v>3078.2037399999995</v>
      </c>
      <c r="L30" s="12">
        <v>3106.0593299999996</v>
      </c>
      <c r="M30" s="12">
        <v>3133.91492</v>
      </c>
      <c r="N30" s="12">
        <v>3161.77051</v>
      </c>
      <c r="O30" s="12">
        <v>3189.6261</v>
      </c>
      <c r="P30" s="12">
        <v>3217.4816899999996</v>
      </c>
      <c r="Q30" s="12">
        <v>3245.3372799999997</v>
      </c>
      <c r="R30" s="12">
        <v>3274.6059099999998</v>
      </c>
      <c r="S30" s="12">
        <v>3302.4615</v>
      </c>
      <c r="T30" s="12">
        <v>3330.3170899999996</v>
      </c>
      <c r="U30" s="12">
        <v>3358.1726799999997</v>
      </c>
      <c r="V30" s="12">
        <v>3386.02827</v>
      </c>
      <c r="W30" s="12">
        <v>3413.8838599999995</v>
      </c>
      <c r="X30" s="12">
        <v>3441.7290599999997</v>
      </c>
      <c r="Y30" s="12">
        <v>3469.58465</v>
      </c>
      <c r="Z30" s="12">
        <v>3497.4402399999994</v>
      </c>
      <c r="AA30" s="12">
        <v>3525.2958299999996</v>
      </c>
      <c r="AB30" s="12">
        <v>3553.15142</v>
      </c>
      <c r="AC30" s="12">
        <v>3601.30907</v>
      </c>
      <c r="AD30" s="12">
        <v>3629.16466</v>
      </c>
      <c r="AE30" s="12">
        <v>3677.3223099999996</v>
      </c>
      <c r="AF30" s="12">
        <v>3705.1778999999997</v>
      </c>
      <c r="AG30" s="12">
        <v>3733.03349</v>
      </c>
      <c r="AH30" s="12">
        <v>3760.8890799999995</v>
      </c>
      <c r="AI30" s="12">
        <v>3788.74467</v>
      </c>
      <c r="AJ30" s="12">
        <v>3818.0132999999996</v>
      </c>
      <c r="AK30" s="12">
        <v>3845.8688899999997</v>
      </c>
      <c r="AL30" s="12">
        <v>3873.72448</v>
      </c>
      <c r="AM30" s="12">
        <v>3901.5696799999996</v>
      </c>
      <c r="AN30" s="12">
        <v>3929.4252699999997</v>
      </c>
      <c r="AO30" s="12">
        <v>3957.2808599999994</v>
      </c>
      <c r="AP30" s="12">
        <v>3985.13645</v>
      </c>
      <c r="AQ30" s="12">
        <v>4012.9920399999996</v>
      </c>
      <c r="AR30" s="12">
        <v>4040.8476299999998</v>
      </c>
      <c r="AS30" s="12">
        <v>4068.70322</v>
      </c>
      <c r="AT30" s="12">
        <v>4096.5588099999995</v>
      </c>
      <c r="AU30" s="12">
        <v>4124.4144</v>
      </c>
      <c r="AV30" s="12">
        <v>4152.26999</v>
      </c>
      <c r="AW30" s="12">
        <v>4180.12558</v>
      </c>
      <c r="AX30" s="12">
        <v>4207.98117</v>
      </c>
      <c r="AY30" s="12">
        <v>4235.83676</v>
      </c>
      <c r="AZ30" s="12">
        <v>4263.692349999999</v>
      </c>
      <c r="BA30" s="12">
        <v>4291.5479399999995</v>
      </c>
      <c r="BB30" s="12">
        <v>4320.80618</v>
      </c>
      <c r="BC30" s="12">
        <v>4348.672159999999</v>
      </c>
      <c r="BD30" s="12">
        <v>4376.51736</v>
      </c>
      <c r="BE30" s="12">
        <v>4404.37295</v>
      </c>
      <c r="BF30" s="12">
        <v>4432.228539999999</v>
      </c>
      <c r="BG30" s="12">
        <v>4460.08413</v>
      </c>
      <c r="BH30" s="12">
        <v>4487.939719999999</v>
      </c>
      <c r="BI30" s="12">
        <v>4515.7953099999995</v>
      </c>
      <c r="BJ30" s="12">
        <v>4543.6509</v>
      </c>
      <c r="BK30" s="12">
        <v>4571.50649</v>
      </c>
      <c r="BL30" s="12">
        <v>4599.36208</v>
      </c>
      <c r="BM30" s="12">
        <v>4627.217669999999</v>
      </c>
      <c r="BN30" s="12">
        <v>4655.07326</v>
      </c>
      <c r="BO30" s="12">
        <v>4682.928849999999</v>
      </c>
      <c r="BP30" s="12">
        <v>4710.784439999999</v>
      </c>
      <c r="BQ30" s="12">
        <v>4738.6400300000005</v>
      </c>
      <c r="BR30" s="12">
        <v>4766.485229999999</v>
      </c>
      <c r="BS30" s="12">
        <v>4794.340819999999</v>
      </c>
      <c r="BT30" s="12">
        <v>4823.60945</v>
      </c>
      <c r="BU30" s="12">
        <v>4851.465039999999</v>
      </c>
      <c r="BV30" s="12">
        <v>4879.32063</v>
      </c>
      <c r="BW30" s="1"/>
      <c r="BX30" s="1"/>
      <c r="BY30" s="1"/>
      <c r="BZ30" s="1"/>
      <c r="CA30" s="1"/>
      <c r="CB30" s="1"/>
      <c r="CC30" s="1"/>
      <c r="CD30" s="1"/>
    </row>
    <row r="31" ht="15.75" customHeight="1">
      <c r="A31" s="5">
        <v>2500.0</v>
      </c>
      <c r="B31" s="12">
        <v>2891.07984</v>
      </c>
      <c r="C31" s="12">
        <v>2918.9354299999995</v>
      </c>
      <c r="D31" s="12">
        <v>2946.7910199999997</v>
      </c>
      <c r="E31" s="12">
        <v>2974.6466099999993</v>
      </c>
      <c r="F31" s="12">
        <v>3002.5022</v>
      </c>
      <c r="G31" s="12">
        <v>3030.35779</v>
      </c>
      <c r="H31" s="12">
        <v>3058.2133799999997</v>
      </c>
      <c r="I31" s="12">
        <v>3086.06897</v>
      </c>
      <c r="J31" s="12">
        <v>3113.92456</v>
      </c>
      <c r="K31" s="12">
        <v>3141.7801499999996</v>
      </c>
      <c r="L31" s="12">
        <v>3169.6357399999997</v>
      </c>
      <c r="M31" s="12">
        <v>3197.4913299999994</v>
      </c>
      <c r="N31" s="12">
        <v>3225.3365299999996</v>
      </c>
      <c r="O31" s="12">
        <v>3253.1921199999997</v>
      </c>
      <c r="P31" s="12">
        <v>3281.04771</v>
      </c>
      <c r="Q31" s="12">
        <v>3308.9032999999995</v>
      </c>
      <c r="R31" s="12">
        <v>3338.1719299999995</v>
      </c>
      <c r="S31" s="12">
        <v>3366.0275199999996</v>
      </c>
      <c r="T31" s="12">
        <v>3393.8831099999993</v>
      </c>
      <c r="U31" s="12">
        <v>3421.7387</v>
      </c>
      <c r="V31" s="12">
        <v>3449.59429</v>
      </c>
      <c r="W31" s="12">
        <v>3477.4498799999997</v>
      </c>
      <c r="X31" s="12">
        <v>3505.30547</v>
      </c>
      <c r="Y31" s="12">
        <v>3533.16106</v>
      </c>
      <c r="Z31" s="12">
        <v>3581.3187099999996</v>
      </c>
      <c r="AA31" s="12">
        <v>3609.1742999999997</v>
      </c>
      <c r="AB31" s="12">
        <v>3657.33195</v>
      </c>
      <c r="AC31" s="12">
        <v>3685.18754</v>
      </c>
      <c r="AD31" s="12">
        <v>3713.0327399999996</v>
      </c>
      <c r="AE31" s="12">
        <v>3740.8883299999993</v>
      </c>
      <c r="AF31" s="12">
        <v>3768.74392</v>
      </c>
      <c r="AG31" s="12">
        <v>3796.59951</v>
      </c>
      <c r="AH31" s="12">
        <v>3824.4550999999997</v>
      </c>
      <c r="AI31" s="12">
        <v>3852.31069</v>
      </c>
      <c r="AJ31" s="12">
        <v>3881.57932</v>
      </c>
      <c r="AK31" s="12">
        <v>3909.43491</v>
      </c>
      <c r="AL31" s="12">
        <v>3937.2904999999996</v>
      </c>
      <c r="AM31" s="12">
        <v>3965.1460899999997</v>
      </c>
      <c r="AN31" s="12">
        <v>3993.0016799999994</v>
      </c>
      <c r="AO31" s="12">
        <v>4020.8572699999995</v>
      </c>
      <c r="AP31" s="12">
        <v>4048.7128599999996</v>
      </c>
      <c r="AQ31" s="12">
        <v>4076.5684499999998</v>
      </c>
      <c r="AR31" s="12">
        <v>4104.4136499999995</v>
      </c>
      <c r="AS31" s="12">
        <v>4132.26924</v>
      </c>
      <c r="AT31" s="12">
        <v>4160.12483</v>
      </c>
      <c r="AU31" s="12">
        <v>4187.98042</v>
      </c>
      <c r="AV31" s="12">
        <v>4215.83601</v>
      </c>
      <c r="AW31" s="12">
        <v>4243.6916</v>
      </c>
      <c r="AX31" s="12">
        <v>4271.547189999999</v>
      </c>
      <c r="AY31" s="12">
        <v>4299.40278</v>
      </c>
      <c r="AZ31" s="12">
        <v>4327.25837</v>
      </c>
      <c r="BA31" s="12">
        <v>4355.11396</v>
      </c>
      <c r="BB31" s="12">
        <v>4384.38259</v>
      </c>
      <c r="BC31" s="12">
        <v>4412.238179999999</v>
      </c>
      <c r="BD31" s="12">
        <v>4440.09377</v>
      </c>
      <c r="BE31" s="12">
        <v>4467.938969999999</v>
      </c>
      <c r="BF31" s="12">
        <v>4495.794559999999</v>
      </c>
      <c r="BG31" s="12">
        <v>4523.65015</v>
      </c>
      <c r="BH31" s="12">
        <v>4551.50574</v>
      </c>
      <c r="BI31" s="12">
        <v>4579.36133</v>
      </c>
      <c r="BJ31" s="12">
        <v>4607.21692</v>
      </c>
      <c r="BK31" s="12">
        <v>4635.07251</v>
      </c>
      <c r="BL31" s="12">
        <v>4662.928099999999</v>
      </c>
      <c r="BM31" s="12">
        <v>4690.783689999999</v>
      </c>
      <c r="BN31" s="12">
        <v>4718.63928</v>
      </c>
      <c r="BO31" s="12">
        <v>4746.4948699999995</v>
      </c>
      <c r="BP31" s="12">
        <v>4774.35046</v>
      </c>
      <c r="BQ31" s="12">
        <v>4802.20605</v>
      </c>
      <c r="BR31" s="12">
        <v>4830.06164</v>
      </c>
      <c r="BS31" s="12">
        <v>4857.917229999999</v>
      </c>
      <c r="BT31" s="12">
        <v>4887.18586</v>
      </c>
      <c r="BU31" s="12">
        <v>4915.031059999999</v>
      </c>
      <c r="BV31" s="12">
        <v>4942.88665</v>
      </c>
      <c r="BW31" s="1"/>
      <c r="BX31" s="1"/>
      <c r="BY31" s="1"/>
      <c r="BZ31" s="1"/>
      <c r="CA31" s="1"/>
      <c r="CB31" s="1"/>
      <c r="CC31" s="1"/>
      <c r="CD31" s="1"/>
    </row>
    <row r="32" ht="15.75" customHeight="1">
      <c r="A32" s="5">
        <v>2600.0</v>
      </c>
      <c r="B32" s="12">
        <v>2954.65625</v>
      </c>
      <c r="C32" s="12">
        <v>2982.5014499999997</v>
      </c>
      <c r="D32" s="12">
        <v>3010.35704</v>
      </c>
      <c r="E32" s="12">
        <v>3038.21263</v>
      </c>
      <c r="F32" s="12">
        <v>3066.0682199999997</v>
      </c>
      <c r="G32" s="12">
        <v>3093.92381</v>
      </c>
      <c r="H32" s="12">
        <v>3121.7794</v>
      </c>
      <c r="I32" s="12">
        <v>3149.6349899999996</v>
      </c>
      <c r="J32" s="12">
        <v>3177.4905799999997</v>
      </c>
      <c r="K32" s="12">
        <v>3205.34617</v>
      </c>
      <c r="L32" s="12">
        <v>3233.20176</v>
      </c>
      <c r="M32" s="12">
        <v>3261.05735</v>
      </c>
      <c r="N32" s="12">
        <v>3288.9129399999997</v>
      </c>
      <c r="O32" s="12">
        <v>3316.76853</v>
      </c>
      <c r="P32" s="12">
        <v>3344.61373</v>
      </c>
      <c r="Q32" s="12">
        <v>3372.4797099999996</v>
      </c>
      <c r="R32" s="12">
        <v>3401.7379499999997</v>
      </c>
      <c r="S32" s="12">
        <v>3429.59354</v>
      </c>
      <c r="T32" s="12">
        <v>3457.44913</v>
      </c>
      <c r="U32" s="12">
        <v>3485.3047199999996</v>
      </c>
      <c r="V32" s="12">
        <v>3513.1603099999998</v>
      </c>
      <c r="W32" s="12">
        <v>3541.0158999999994</v>
      </c>
      <c r="X32" s="12">
        <v>3589.1735499999995</v>
      </c>
      <c r="Y32" s="12">
        <v>3617.02914</v>
      </c>
      <c r="Z32" s="12">
        <v>3665.1867899999997</v>
      </c>
      <c r="AA32" s="12">
        <v>3693.04238</v>
      </c>
      <c r="AB32" s="12">
        <v>3720.8979699999995</v>
      </c>
      <c r="AC32" s="12">
        <v>3748.7535599999997</v>
      </c>
      <c r="AD32" s="12">
        <v>3776.6091499999998</v>
      </c>
      <c r="AE32" s="12">
        <v>3804.45435</v>
      </c>
      <c r="AF32" s="12">
        <v>3832.3203299999996</v>
      </c>
      <c r="AG32" s="12">
        <v>3860.1655299999998</v>
      </c>
      <c r="AH32" s="12">
        <v>3888.0211199999994</v>
      </c>
      <c r="AI32" s="12">
        <v>3915.8767099999995</v>
      </c>
      <c r="AJ32" s="12">
        <v>3945.1453399999996</v>
      </c>
      <c r="AK32" s="12">
        <v>3973.0009299999997</v>
      </c>
      <c r="AL32" s="12">
        <v>4000.8565199999994</v>
      </c>
      <c r="AM32" s="12">
        <v>4028.7121099999995</v>
      </c>
      <c r="AN32" s="12">
        <v>4056.5677</v>
      </c>
      <c r="AO32" s="12">
        <v>4084.4232899999997</v>
      </c>
      <c r="AP32" s="12">
        <v>4112.27888</v>
      </c>
      <c r="AQ32" s="12">
        <v>4140.13447</v>
      </c>
      <c r="AR32" s="12">
        <v>4167.99006</v>
      </c>
      <c r="AS32" s="12">
        <v>4195.845649999999</v>
      </c>
      <c r="AT32" s="12">
        <v>4223.701239999999</v>
      </c>
      <c r="AU32" s="12">
        <v>4251.54644</v>
      </c>
      <c r="AV32" s="12">
        <v>4279.40203</v>
      </c>
      <c r="AW32" s="12">
        <v>4307.257619999999</v>
      </c>
      <c r="AX32" s="12">
        <v>4335.11321</v>
      </c>
      <c r="AY32" s="12">
        <v>4362.9688</v>
      </c>
      <c r="AZ32" s="12">
        <v>4390.82439</v>
      </c>
      <c r="BA32" s="12">
        <v>4418.679979999999</v>
      </c>
      <c r="BB32" s="12">
        <v>4447.9486099999995</v>
      </c>
      <c r="BC32" s="12">
        <v>4475.8042</v>
      </c>
      <c r="BD32" s="12">
        <v>4503.65979</v>
      </c>
      <c r="BE32" s="12">
        <v>4531.51538</v>
      </c>
      <c r="BF32" s="12">
        <v>4559.370969999999</v>
      </c>
      <c r="BG32" s="12">
        <v>4587.22656</v>
      </c>
      <c r="BH32" s="12">
        <v>4615.08215</v>
      </c>
      <c r="BI32" s="12">
        <v>4642.937739999999</v>
      </c>
      <c r="BJ32" s="12">
        <v>4670.7933299999995</v>
      </c>
      <c r="BK32" s="12">
        <v>4698.63853</v>
      </c>
      <c r="BL32" s="12">
        <v>4726.494119999999</v>
      </c>
      <c r="BM32" s="12">
        <v>4754.34971</v>
      </c>
      <c r="BN32" s="12">
        <v>4782.2053</v>
      </c>
      <c r="BO32" s="12">
        <v>4810.06089</v>
      </c>
      <c r="BP32" s="12">
        <v>4837.916479999999</v>
      </c>
      <c r="BQ32" s="12">
        <v>4865.77207</v>
      </c>
      <c r="BR32" s="12">
        <v>4893.627659999999</v>
      </c>
      <c r="BS32" s="12">
        <v>4921.483249999999</v>
      </c>
      <c r="BT32" s="12">
        <v>4950.75188</v>
      </c>
      <c r="BU32" s="12">
        <v>4978.607469999999</v>
      </c>
      <c r="BV32" s="12">
        <v>5006.46306</v>
      </c>
      <c r="BW32" s="1"/>
      <c r="BX32" s="1"/>
      <c r="BY32" s="1"/>
      <c r="BZ32" s="1"/>
      <c r="CA32" s="1"/>
      <c r="CB32" s="1"/>
      <c r="CC32" s="1"/>
      <c r="CD32" s="1"/>
    </row>
    <row r="33" ht="15.75" customHeight="1">
      <c r="A33" s="5">
        <v>2700.0</v>
      </c>
      <c r="B33" s="12">
        <v>3018.2222699999998</v>
      </c>
      <c r="C33" s="12">
        <v>3046.0778599999994</v>
      </c>
      <c r="D33" s="12">
        <v>3073.93345</v>
      </c>
      <c r="E33" s="12">
        <v>3101.78904</v>
      </c>
      <c r="F33" s="12">
        <v>3129.64463</v>
      </c>
      <c r="G33" s="12">
        <v>3157.4898299999995</v>
      </c>
      <c r="H33" s="12">
        <v>3185.34542</v>
      </c>
      <c r="I33" s="12">
        <v>3213.2010099999998</v>
      </c>
      <c r="J33" s="12">
        <v>3241.0566</v>
      </c>
      <c r="K33" s="12">
        <v>3268.91219</v>
      </c>
      <c r="L33" s="12">
        <v>3296.7677799999997</v>
      </c>
      <c r="M33" s="12">
        <v>3324.62337</v>
      </c>
      <c r="N33" s="12">
        <v>3352.4789599999995</v>
      </c>
      <c r="O33" s="12">
        <v>3380.3345499999996</v>
      </c>
      <c r="P33" s="12">
        <v>3408.19014</v>
      </c>
      <c r="Q33" s="12">
        <v>3436.04573</v>
      </c>
      <c r="R33" s="12">
        <v>3465.3143599999994</v>
      </c>
      <c r="S33" s="12">
        <v>3493.16995</v>
      </c>
      <c r="T33" s="12">
        <v>3521.02554</v>
      </c>
      <c r="U33" s="12">
        <v>3548.8707399999994</v>
      </c>
      <c r="V33" s="12">
        <v>3597.03878</v>
      </c>
      <c r="W33" s="12">
        <v>3624.88398</v>
      </c>
      <c r="X33" s="12">
        <v>3673.0416299999997</v>
      </c>
      <c r="Y33" s="12">
        <v>3700.89722</v>
      </c>
      <c r="Z33" s="12">
        <v>3728.7528099999995</v>
      </c>
      <c r="AA33" s="12">
        <v>3756.6083999999996</v>
      </c>
      <c r="AB33" s="12">
        <v>3784.4639899999997</v>
      </c>
      <c r="AC33" s="12">
        <v>3812.3195799999994</v>
      </c>
      <c r="AD33" s="12">
        <v>3840.17517</v>
      </c>
      <c r="AE33" s="12">
        <v>3868.0307599999996</v>
      </c>
      <c r="AF33" s="12">
        <v>3895.8863499999998</v>
      </c>
      <c r="AG33" s="12">
        <v>3923.74194</v>
      </c>
      <c r="AH33" s="12">
        <v>3951.5975299999996</v>
      </c>
      <c r="AI33" s="12">
        <v>3979.4531199999997</v>
      </c>
      <c r="AJ33" s="12">
        <v>4008.7217499999997</v>
      </c>
      <c r="AK33" s="12">
        <v>4036.57734</v>
      </c>
      <c r="AL33" s="12">
        <v>4064.42254</v>
      </c>
      <c r="AM33" s="12">
        <v>4092.2781299999997</v>
      </c>
      <c r="AN33" s="12">
        <v>4120.13372</v>
      </c>
      <c r="AO33" s="12">
        <v>4147.98931</v>
      </c>
      <c r="AP33" s="12">
        <v>4175.8449</v>
      </c>
      <c r="AQ33" s="12">
        <v>4203.700489999999</v>
      </c>
      <c r="AR33" s="12">
        <v>4231.556079999999</v>
      </c>
      <c r="AS33" s="12">
        <v>4259.4116699999995</v>
      </c>
      <c r="AT33" s="12">
        <v>4287.26726</v>
      </c>
      <c r="AU33" s="12">
        <v>4315.12285</v>
      </c>
      <c r="AV33" s="12">
        <v>4342.97844</v>
      </c>
      <c r="AW33" s="12">
        <v>4370.83403</v>
      </c>
      <c r="AX33" s="12">
        <v>4398.689619999999</v>
      </c>
      <c r="AY33" s="12">
        <v>4426.54521</v>
      </c>
      <c r="AZ33" s="12">
        <v>4454.390409999999</v>
      </c>
      <c r="BA33" s="12">
        <v>4482.246</v>
      </c>
      <c r="BB33" s="12">
        <v>4511.51463</v>
      </c>
      <c r="BC33" s="12">
        <v>4539.370219999999</v>
      </c>
      <c r="BD33" s="12">
        <v>4567.22581</v>
      </c>
      <c r="BE33" s="12">
        <v>4595.0814</v>
      </c>
      <c r="BF33" s="12">
        <v>4622.936989999999</v>
      </c>
      <c r="BG33" s="12">
        <v>4650.79258</v>
      </c>
      <c r="BH33" s="12">
        <v>4678.6481699999995</v>
      </c>
      <c r="BI33" s="12">
        <v>4706.50376</v>
      </c>
      <c r="BJ33" s="12">
        <v>4734.35935</v>
      </c>
      <c r="BK33" s="12">
        <v>4762.21494</v>
      </c>
      <c r="BL33" s="12">
        <v>4790.07053</v>
      </c>
      <c r="BM33" s="12">
        <v>4817.926119999999</v>
      </c>
      <c r="BN33" s="12">
        <v>4845.77132</v>
      </c>
      <c r="BO33" s="12">
        <v>4873.626909999999</v>
      </c>
      <c r="BP33" s="12">
        <v>4901.4825</v>
      </c>
      <c r="BQ33" s="12">
        <v>4929.33809</v>
      </c>
      <c r="BR33" s="12">
        <v>4957.193679999999</v>
      </c>
      <c r="BS33" s="12">
        <v>4985.0492699999995</v>
      </c>
      <c r="BT33" s="12">
        <v>5014.3179</v>
      </c>
      <c r="BU33" s="12">
        <v>5004.021409999999</v>
      </c>
      <c r="BV33" s="12">
        <v>5031.8769999999995</v>
      </c>
      <c r="BW33" s="1"/>
      <c r="BX33" s="1"/>
      <c r="BY33" s="1"/>
      <c r="BZ33" s="1"/>
      <c r="CA33" s="1"/>
      <c r="CB33" s="1"/>
      <c r="CC33" s="1"/>
      <c r="CD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row>
    <row r="35" ht="15.75" customHeight="1">
      <c r="A35" s="1"/>
      <c r="B35" s="1"/>
      <c r="C35" s="1" t="s">
        <v>743</v>
      </c>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row>
    <row r="36" ht="15.75" customHeight="1">
      <c r="A36" s="1"/>
      <c r="B36" s="5">
        <v>1500.0</v>
      </c>
      <c r="C36" s="5">
        <v>1600.0</v>
      </c>
      <c r="D36" s="5">
        <v>1700.0</v>
      </c>
      <c r="E36" s="5">
        <v>1800.0</v>
      </c>
      <c r="F36" s="5">
        <v>1900.0</v>
      </c>
      <c r="G36" s="5">
        <v>2000.0</v>
      </c>
      <c r="H36" s="5">
        <v>2100.0</v>
      </c>
      <c r="I36" s="5">
        <v>2200.0</v>
      </c>
      <c r="J36" s="5">
        <v>2300.0</v>
      </c>
      <c r="K36" s="5">
        <v>2400.0</v>
      </c>
      <c r="L36" s="5">
        <v>2500.0</v>
      </c>
      <c r="M36" s="5">
        <v>2600.0</v>
      </c>
      <c r="N36" s="5">
        <v>2700.0</v>
      </c>
      <c r="O36" s="5">
        <v>2800.0</v>
      </c>
      <c r="P36" s="5">
        <v>2900.0</v>
      </c>
      <c r="Q36" s="5">
        <v>3000.0</v>
      </c>
      <c r="R36" s="5">
        <v>3100.0</v>
      </c>
      <c r="S36" s="5">
        <v>3200.0</v>
      </c>
      <c r="T36" s="5">
        <v>3300.0</v>
      </c>
      <c r="U36" s="5">
        <v>3400.0</v>
      </c>
      <c r="V36" s="5">
        <v>3500.0</v>
      </c>
      <c r="W36" s="5">
        <v>3600.0</v>
      </c>
      <c r="X36" s="5">
        <v>3700.0</v>
      </c>
      <c r="Y36" s="5">
        <v>3800.0</v>
      </c>
      <c r="Z36" s="5">
        <v>3900.0</v>
      </c>
      <c r="AA36" s="5">
        <v>4000.0</v>
      </c>
      <c r="AB36" s="5">
        <v>4100.0</v>
      </c>
      <c r="AC36" s="5">
        <v>4200.0</v>
      </c>
      <c r="AD36" s="5">
        <v>4300.0</v>
      </c>
      <c r="AE36" s="5">
        <v>4400.0</v>
      </c>
      <c r="AF36" s="5">
        <v>4500.0</v>
      </c>
      <c r="AG36" s="5">
        <v>4600.0</v>
      </c>
      <c r="AH36" s="5">
        <v>4700.0</v>
      </c>
      <c r="AI36" s="5">
        <v>4800.0</v>
      </c>
      <c r="AJ36" s="5">
        <v>4900.0</v>
      </c>
      <c r="AK36" s="5">
        <v>5000.0</v>
      </c>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row>
    <row r="37" ht="15.75" customHeight="1">
      <c r="A37" s="5">
        <v>2000.0</v>
      </c>
      <c r="B37" s="12">
        <v>1190.7875099999999</v>
      </c>
      <c r="C37" s="12">
        <v>1211.09996</v>
      </c>
      <c r="D37" s="12">
        <v>1231.40202</v>
      </c>
      <c r="E37" s="12">
        <v>1251.71447</v>
      </c>
      <c r="F37" s="12">
        <v>1272.0269199999998</v>
      </c>
      <c r="G37" s="12">
        <v>1292.33937</v>
      </c>
      <c r="H37" s="12">
        <v>1312.65182</v>
      </c>
      <c r="I37" s="12">
        <v>1333.67079</v>
      </c>
      <c r="J37" s="12">
        <v>1353.98324</v>
      </c>
      <c r="K37" s="12">
        <v>1374.29569</v>
      </c>
      <c r="L37" s="12">
        <v>1394.6081399999998</v>
      </c>
      <c r="M37" s="12">
        <v>1414.9101999999998</v>
      </c>
      <c r="N37" s="12">
        <v>1435.2226499999997</v>
      </c>
      <c r="O37" s="12">
        <v>1455.5351</v>
      </c>
      <c r="P37" s="12">
        <v>1475.84755</v>
      </c>
      <c r="Q37" s="12">
        <v>1496.1599999999999</v>
      </c>
      <c r="R37" s="12">
        <v>1517.17897</v>
      </c>
      <c r="S37" s="12">
        <v>1537.4914199999998</v>
      </c>
      <c r="T37" s="12">
        <v>1557.8038699999997</v>
      </c>
      <c r="U37" s="12">
        <v>1598.41838</v>
      </c>
      <c r="V37" s="12">
        <v>1618.7204399999998</v>
      </c>
      <c r="W37" s="12">
        <v>1639.03289</v>
      </c>
      <c r="X37" s="12">
        <v>1659.3453399999999</v>
      </c>
      <c r="Y37" s="12">
        <v>1679.6577899999997</v>
      </c>
      <c r="Z37" s="12">
        <v>1699.9702399999999</v>
      </c>
      <c r="AA37" s="12">
        <v>1720.98921</v>
      </c>
      <c r="AB37" s="12">
        <v>1741.3016599999999</v>
      </c>
      <c r="AC37" s="12">
        <v>1761.61411</v>
      </c>
      <c r="AD37" s="12">
        <v>1781.9265599999999</v>
      </c>
      <c r="AE37" s="12">
        <v>1802.2286199999999</v>
      </c>
      <c r="AF37" s="12">
        <v>1822.54107</v>
      </c>
      <c r="AG37" s="12">
        <v>1842.85352</v>
      </c>
      <c r="AH37" s="12">
        <v>1863.1659699999998</v>
      </c>
      <c r="AI37" s="12">
        <v>1883.47842</v>
      </c>
      <c r="AJ37" s="12">
        <v>1904.4973899999998</v>
      </c>
      <c r="AK37" s="12">
        <v>1924.80984</v>
      </c>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row>
    <row r="38" ht="15.75" customHeight="1">
      <c r="A38" s="5">
        <v>2100.0</v>
      </c>
      <c r="B38" s="12">
        <v>1221.25099</v>
      </c>
      <c r="C38" s="12">
        <v>1241.56344</v>
      </c>
      <c r="D38" s="12">
        <v>1261.8758899999998</v>
      </c>
      <c r="E38" s="12">
        <v>1282.18834</v>
      </c>
      <c r="F38" s="12">
        <v>1302.4904</v>
      </c>
      <c r="G38" s="12">
        <v>1322.80285</v>
      </c>
      <c r="H38" s="12">
        <v>1343.1153</v>
      </c>
      <c r="I38" s="12">
        <v>1364.13427</v>
      </c>
      <c r="J38" s="12">
        <v>1384.44672</v>
      </c>
      <c r="K38" s="12">
        <v>1404.7591699999998</v>
      </c>
      <c r="L38" s="12">
        <v>1425.0716199999997</v>
      </c>
      <c r="M38" s="12">
        <v>1445.38407</v>
      </c>
      <c r="N38" s="12">
        <v>1465.69652</v>
      </c>
      <c r="O38" s="12">
        <v>1485.99858</v>
      </c>
      <c r="P38" s="12">
        <v>1506.3110299999998</v>
      </c>
      <c r="Q38" s="12">
        <v>1526.6234799999997</v>
      </c>
      <c r="R38" s="12">
        <v>1547.6424499999998</v>
      </c>
      <c r="S38" s="12">
        <v>1588.25696</v>
      </c>
      <c r="T38" s="12">
        <v>1608.5694099999998</v>
      </c>
      <c r="U38" s="12">
        <v>1628.88186</v>
      </c>
      <c r="V38" s="12">
        <v>1649.1943099999999</v>
      </c>
      <c r="W38" s="12">
        <v>1669.5067599999998</v>
      </c>
      <c r="X38" s="12">
        <v>1689.8192099999999</v>
      </c>
      <c r="Y38" s="12">
        <v>1710.1212699999999</v>
      </c>
      <c r="Z38" s="12">
        <v>1730.43372</v>
      </c>
      <c r="AA38" s="12">
        <v>1751.4526899999998</v>
      </c>
      <c r="AB38" s="12">
        <v>1771.76514</v>
      </c>
      <c r="AC38" s="12">
        <v>1792.0775899999999</v>
      </c>
      <c r="AD38" s="12">
        <v>1812.3900399999998</v>
      </c>
      <c r="AE38" s="12">
        <v>1832.70249</v>
      </c>
      <c r="AF38" s="12">
        <v>1853.0149399999998</v>
      </c>
      <c r="AG38" s="12">
        <v>1873.32739</v>
      </c>
      <c r="AH38" s="12">
        <v>1893.62945</v>
      </c>
      <c r="AI38" s="12">
        <v>1913.9418999999998</v>
      </c>
      <c r="AJ38" s="12">
        <v>1934.9608699999999</v>
      </c>
      <c r="AK38" s="12">
        <v>1955.27332</v>
      </c>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row>
    <row r="39" ht="15.75" customHeight="1">
      <c r="A39" s="5">
        <v>2200.0</v>
      </c>
      <c r="B39" s="12">
        <v>1251.71447</v>
      </c>
      <c r="C39" s="12">
        <v>1272.0269199999998</v>
      </c>
      <c r="D39" s="12">
        <v>1292.33937</v>
      </c>
      <c r="E39" s="12">
        <v>1312.65182</v>
      </c>
      <c r="F39" s="12">
        <v>1332.96427</v>
      </c>
      <c r="G39" s="12">
        <v>1353.2767199999998</v>
      </c>
      <c r="H39" s="12">
        <v>1373.58917</v>
      </c>
      <c r="I39" s="12">
        <v>1394.59775</v>
      </c>
      <c r="J39" s="12">
        <v>1414.9101999999998</v>
      </c>
      <c r="K39" s="12">
        <v>1435.2226499999997</v>
      </c>
      <c r="L39" s="12">
        <v>1455.5351</v>
      </c>
      <c r="M39" s="12">
        <v>1475.84755</v>
      </c>
      <c r="N39" s="12">
        <v>1496.1599999999999</v>
      </c>
      <c r="O39" s="12">
        <v>1516.4724499999998</v>
      </c>
      <c r="P39" s="12">
        <v>1536.7848999999999</v>
      </c>
      <c r="Q39" s="12">
        <v>1557.09735</v>
      </c>
      <c r="R39" s="12">
        <v>1598.40799</v>
      </c>
      <c r="S39" s="12">
        <v>1618.7204399999998</v>
      </c>
      <c r="T39" s="12">
        <v>1639.03289</v>
      </c>
      <c r="U39" s="12">
        <v>1659.3453399999999</v>
      </c>
      <c r="V39" s="12">
        <v>1679.6577899999997</v>
      </c>
      <c r="W39" s="12">
        <v>1699.9702399999999</v>
      </c>
      <c r="X39" s="12">
        <v>1720.28269</v>
      </c>
      <c r="Y39" s="12">
        <v>1740.59514</v>
      </c>
      <c r="Z39" s="12">
        <v>1760.9075899999998</v>
      </c>
      <c r="AA39" s="12">
        <v>1781.9161699999997</v>
      </c>
      <c r="AB39" s="12">
        <v>1802.2286199999999</v>
      </c>
      <c r="AC39" s="12">
        <v>1822.54107</v>
      </c>
      <c r="AD39" s="12">
        <v>1842.85352</v>
      </c>
      <c r="AE39" s="12">
        <v>1863.1659699999998</v>
      </c>
      <c r="AF39" s="12">
        <v>1883.47842</v>
      </c>
      <c r="AG39" s="12">
        <v>1903.7908699999998</v>
      </c>
      <c r="AH39" s="12">
        <v>1924.10332</v>
      </c>
      <c r="AI39" s="12">
        <v>1944.4157699999998</v>
      </c>
      <c r="AJ39" s="12">
        <v>1965.42435</v>
      </c>
      <c r="AK39" s="12">
        <v>1985.7368</v>
      </c>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row>
    <row r="40" ht="15.75" customHeight="1">
      <c r="A40" s="5">
        <v>2300.0</v>
      </c>
      <c r="B40" s="12">
        <v>1282.1779499999998</v>
      </c>
      <c r="C40" s="12">
        <v>1302.4904</v>
      </c>
      <c r="D40" s="12">
        <v>1322.80285</v>
      </c>
      <c r="E40" s="12">
        <v>1343.1153</v>
      </c>
      <c r="F40" s="12">
        <v>1363.4277499999998</v>
      </c>
      <c r="G40" s="12">
        <v>1383.7402</v>
      </c>
      <c r="H40" s="12">
        <v>1404.0526499999999</v>
      </c>
      <c r="I40" s="12">
        <v>1425.0716199999997</v>
      </c>
      <c r="J40" s="12">
        <v>1445.38407</v>
      </c>
      <c r="K40" s="12">
        <v>1465.68613</v>
      </c>
      <c r="L40" s="12">
        <v>1485.99858</v>
      </c>
      <c r="M40" s="12">
        <v>1506.3110299999998</v>
      </c>
      <c r="N40" s="12">
        <v>1526.6234799999997</v>
      </c>
      <c r="O40" s="12">
        <v>1546.9359299999999</v>
      </c>
      <c r="P40" s="12">
        <v>1587.55044</v>
      </c>
      <c r="Q40" s="12">
        <v>1607.8628899999999</v>
      </c>
      <c r="R40" s="12">
        <v>1628.88186</v>
      </c>
      <c r="S40" s="12">
        <v>1649.1943099999999</v>
      </c>
      <c r="T40" s="12">
        <v>1669.4963699999998</v>
      </c>
      <c r="U40" s="12">
        <v>1689.80882</v>
      </c>
      <c r="V40" s="12">
        <v>1710.1212699999999</v>
      </c>
      <c r="W40" s="12">
        <v>1730.43372</v>
      </c>
      <c r="X40" s="12">
        <v>1750.74617</v>
      </c>
      <c r="Y40" s="12">
        <v>1771.0586199999998</v>
      </c>
      <c r="Z40" s="12">
        <v>1791.37107</v>
      </c>
      <c r="AA40" s="12">
        <v>1812.3900399999998</v>
      </c>
      <c r="AB40" s="12">
        <v>1832.70249</v>
      </c>
      <c r="AC40" s="12">
        <v>1853.0045499999999</v>
      </c>
      <c r="AD40" s="12">
        <v>1873.3169999999998</v>
      </c>
      <c r="AE40" s="12">
        <v>1893.62945</v>
      </c>
      <c r="AF40" s="12">
        <v>1913.9418999999998</v>
      </c>
      <c r="AG40" s="12">
        <v>1934.25435</v>
      </c>
      <c r="AH40" s="12">
        <v>1954.5667999999998</v>
      </c>
      <c r="AI40" s="12">
        <v>1974.87925</v>
      </c>
      <c r="AJ40" s="12">
        <v>1995.8982199999998</v>
      </c>
      <c r="AK40" s="12">
        <v>2016.21067</v>
      </c>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row>
    <row r="41" ht="15.75" customHeight="1">
      <c r="A41" s="5">
        <v>2400.0</v>
      </c>
      <c r="B41" s="12">
        <v>1312.65182</v>
      </c>
      <c r="C41" s="12">
        <v>1332.96427</v>
      </c>
      <c r="D41" s="12">
        <v>1353.2767199999998</v>
      </c>
      <c r="E41" s="12">
        <v>1373.5787799999998</v>
      </c>
      <c r="F41" s="12">
        <v>1393.8912299999997</v>
      </c>
      <c r="G41" s="12">
        <v>1414.2036799999998</v>
      </c>
      <c r="H41" s="12">
        <v>1434.51613</v>
      </c>
      <c r="I41" s="12">
        <v>1455.5351</v>
      </c>
      <c r="J41" s="12">
        <v>1475.84755</v>
      </c>
      <c r="K41" s="12">
        <v>1496.1599999999999</v>
      </c>
      <c r="L41" s="12">
        <v>1516.4724499999998</v>
      </c>
      <c r="M41" s="12">
        <v>1536.7848999999999</v>
      </c>
      <c r="N41" s="12">
        <v>1557.08696</v>
      </c>
      <c r="O41" s="12">
        <v>1597.70147</v>
      </c>
      <c r="P41" s="12">
        <v>1618.0139199999999</v>
      </c>
      <c r="Q41" s="12">
        <v>1638.3263699999998</v>
      </c>
      <c r="R41" s="12">
        <v>1659.3453399999999</v>
      </c>
      <c r="S41" s="12">
        <v>1679.6577899999997</v>
      </c>
      <c r="T41" s="12">
        <v>1699.9702399999999</v>
      </c>
      <c r="U41" s="12">
        <v>1720.28269</v>
      </c>
      <c r="V41" s="12">
        <v>1740.59514</v>
      </c>
      <c r="W41" s="12">
        <v>1760.8971999999999</v>
      </c>
      <c r="X41" s="12">
        <v>1781.2096499999998</v>
      </c>
      <c r="Y41" s="12">
        <v>1801.5221</v>
      </c>
      <c r="Z41" s="12">
        <v>1821.8345499999998</v>
      </c>
      <c r="AA41" s="12">
        <v>1842.85352</v>
      </c>
      <c r="AB41" s="12">
        <v>1863.1659699999998</v>
      </c>
      <c r="AC41" s="12">
        <v>1883.47842</v>
      </c>
      <c r="AD41" s="12">
        <v>1903.7908699999998</v>
      </c>
      <c r="AE41" s="12">
        <v>1924.10332</v>
      </c>
      <c r="AF41" s="12">
        <v>1944.40538</v>
      </c>
      <c r="AG41" s="12">
        <v>1964.7178299999998</v>
      </c>
      <c r="AH41" s="12">
        <v>1985.03028</v>
      </c>
      <c r="AI41" s="12">
        <v>2005.3427299999998</v>
      </c>
      <c r="AJ41" s="12">
        <v>2026.3616999999997</v>
      </c>
      <c r="AK41" s="12">
        <v>2046.6741499999998</v>
      </c>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row>
    <row r="42" ht="15.75" customHeight="1">
      <c r="A42" s="5">
        <v>2500.0</v>
      </c>
      <c r="B42" s="12">
        <v>1343.1153</v>
      </c>
      <c r="C42" s="12">
        <v>1363.4277499999998</v>
      </c>
      <c r="D42" s="12">
        <v>1383.7402</v>
      </c>
      <c r="E42" s="12">
        <v>1404.0526499999999</v>
      </c>
      <c r="F42" s="12">
        <v>1424.3651</v>
      </c>
      <c r="G42" s="12">
        <v>1444.66716</v>
      </c>
      <c r="H42" s="12">
        <v>1464.9796099999999</v>
      </c>
      <c r="I42" s="12">
        <v>1485.99858</v>
      </c>
      <c r="J42" s="12">
        <v>1506.3110299999998</v>
      </c>
      <c r="K42" s="12">
        <v>1526.6234799999997</v>
      </c>
      <c r="L42" s="12">
        <v>1546.9359299999999</v>
      </c>
      <c r="M42" s="12">
        <v>1567.24838</v>
      </c>
      <c r="N42" s="12">
        <v>1607.8628899999999</v>
      </c>
      <c r="O42" s="12">
        <v>1628.1753399999998</v>
      </c>
      <c r="P42" s="12">
        <v>1648.4773999999998</v>
      </c>
      <c r="Q42" s="12">
        <v>1668.78985</v>
      </c>
      <c r="R42" s="12">
        <v>1689.80882</v>
      </c>
      <c r="S42" s="12">
        <v>1710.1212699999999</v>
      </c>
      <c r="T42" s="12">
        <v>1730.43372</v>
      </c>
      <c r="U42" s="12">
        <v>1750.74617</v>
      </c>
      <c r="V42" s="12">
        <v>1771.0586199999998</v>
      </c>
      <c r="W42" s="12">
        <v>1791.37107</v>
      </c>
      <c r="X42" s="12">
        <v>1811.68352</v>
      </c>
      <c r="Y42" s="12">
        <v>1831.9855799999998</v>
      </c>
      <c r="Z42" s="12">
        <v>1852.29803</v>
      </c>
      <c r="AA42" s="12">
        <v>1873.3169999999998</v>
      </c>
      <c r="AB42" s="12">
        <v>1893.62945</v>
      </c>
      <c r="AC42" s="12">
        <v>1913.9418999999998</v>
      </c>
      <c r="AD42" s="12">
        <v>1934.25435</v>
      </c>
      <c r="AE42" s="12">
        <v>1954.5667999999998</v>
      </c>
      <c r="AF42" s="12">
        <v>1974.87925</v>
      </c>
      <c r="AG42" s="12">
        <v>1995.1916999999999</v>
      </c>
      <c r="AH42" s="12">
        <v>2015.5041499999998</v>
      </c>
      <c r="AI42" s="12">
        <v>2035.80621</v>
      </c>
      <c r="AJ42" s="12">
        <v>2056.82518</v>
      </c>
      <c r="AK42" s="12">
        <v>2077.1376299999997</v>
      </c>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row>
    <row r="43" ht="15.75" customHeight="1">
      <c r="A43" s="5">
        <v>2600.0</v>
      </c>
      <c r="B43" s="12">
        <v>1373.5787799999998</v>
      </c>
      <c r="C43" s="12">
        <v>1393.8912299999997</v>
      </c>
      <c r="D43" s="12">
        <v>1414.2036799999998</v>
      </c>
      <c r="E43" s="12">
        <v>1434.51613</v>
      </c>
      <c r="F43" s="12">
        <v>1454.8285799999999</v>
      </c>
      <c r="G43" s="12">
        <v>1475.1410299999998</v>
      </c>
      <c r="H43" s="12">
        <v>1495.45348</v>
      </c>
      <c r="I43" s="12">
        <v>1516.4724499999998</v>
      </c>
      <c r="J43" s="12">
        <v>1536.7745099999997</v>
      </c>
      <c r="K43" s="12">
        <v>1557.08696</v>
      </c>
      <c r="L43" s="12">
        <v>1577.39941</v>
      </c>
      <c r="M43" s="12">
        <v>1618.0139199999999</v>
      </c>
      <c r="N43" s="12">
        <v>1638.3263699999998</v>
      </c>
      <c r="O43" s="12">
        <v>1658.63882</v>
      </c>
      <c r="P43" s="12">
        <v>1678.95127</v>
      </c>
      <c r="Q43" s="12">
        <v>1699.26372</v>
      </c>
      <c r="R43" s="12">
        <v>1720.28269</v>
      </c>
      <c r="S43" s="12">
        <v>1740.58475</v>
      </c>
      <c r="T43" s="12">
        <v>1760.8971999999999</v>
      </c>
      <c r="U43" s="12">
        <v>1781.2096499999998</v>
      </c>
      <c r="V43" s="12">
        <v>1801.5221</v>
      </c>
      <c r="W43" s="12">
        <v>1821.8345499999998</v>
      </c>
      <c r="X43" s="12">
        <v>1842.147</v>
      </c>
      <c r="Y43" s="12">
        <v>1862.4594499999998</v>
      </c>
      <c r="Z43" s="12">
        <v>1882.7718999999997</v>
      </c>
      <c r="AA43" s="12">
        <v>1903.7908699999998</v>
      </c>
      <c r="AB43" s="12">
        <v>1924.0929299999998</v>
      </c>
      <c r="AC43" s="12">
        <v>1944.40538</v>
      </c>
      <c r="AD43" s="12">
        <v>1964.7178299999998</v>
      </c>
      <c r="AE43" s="12">
        <v>1985.03028</v>
      </c>
      <c r="AF43" s="12">
        <v>2005.3427299999998</v>
      </c>
      <c r="AG43" s="12">
        <v>2025.6551799999997</v>
      </c>
      <c r="AH43" s="12">
        <v>2045.9676299999999</v>
      </c>
      <c r="AI43" s="12">
        <v>2066.28008</v>
      </c>
      <c r="AJ43" s="12">
        <v>2087.29905</v>
      </c>
      <c r="AK43" s="12">
        <v>2107.60111</v>
      </c>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row>
    <row r="44" ht="15.75" customHeight="1">
      <c r="A44" s="5">
        <v>2700.0</v>
      </c>
      <c r="B44" s="12">
        <v>1404.0526499999999</v>
      </c>
      <c r="C44" s="12">
        <v>1424.35471</v>
      </c>
      <c r="D44" s="12">
        <v>1444.66716</v>
      </c>
      <c r="E44" s="12">
        <v>1464.9796099999999</v>
      </c>
      <c r="F44" s="12">
        <v>1485.2920599999998</v>
      </c>
      <c r="G44" s="12">
        <v>1505.60451</v>
      </c>
      <c r="H44" s="12">
        <v>1525.91696</v>
      </c>
      <c r="I44" s="12">
        <v>1546.9359299999999</v>
      </c>
      <c r="J44" s="12">
        <v>1567.24838</v>
      </c>
      <c r="K44" s="12">
        <v>1587.56083</v>
      </c>
      <c r="L44" s="12">
        <v>1628.1649499999999</v>
      </c>
      <c r="M44" s="12">
        <v>1648.4773999999998</v>
      </c>
      <c r="N44" s="12">
        <v>1668.78985</v>
      </c>
      <c r="O44" s="12">
        <v>1689.1023</v>
      </c>
      <c r="P44" s="12">
        <v>1709.41475</v>
      </c>
      <c r="Q44" s="12">
        <v>1729.7271999999998</v>
      </c>
      <c r="R44" s="12">
        <v>1750.74617</v>
      </c>
      <c r="S44" s="12">
        <v>1771.0586199999998</v>
      </c>
      <c r="T44" s="12">
        <v>1791.37107</v>
      </c>
      <c r="U44" s="12">
        <v>1811.67313</v>
      </c>
      <c r="V44" s="12">
        <v>1831.9855799999998</v>
      </c>
      <c r="W44" s="12">
        <v>1852.29803</v>
      </c>
      <c r="X44" s="12">
        <v>1872.6104799999998</v>
      </c>
      <c r="Y44" s="12">
        <v>1892.9229299999997</v>
      </c>
      <c r="Z44" s="12">
        <v>1913.2353799999999</v>
      </c>
      <c r="AA44" s="12">
        <v>1934.25435</v>
      </c>
      <c r="AB44" s="12">
        <v>1954.5667999999998</v>
      </c>
      <c r="AC44" s="12">
        <v>1974.87925</v>
      </c>
      <c r="AD44" s="12">
        <v>1995.1916999999999</v>
      </c>
      <c r="AE44" s="12">
        <v>2015.4937599999998</v>
      </c>
      <c r="AF44" s="12">
        <v>2035.80621</v>
      </c>
      <c r="AG44" s="12">
        <v>2056.11866</v>
      </c>
      <c r="AH44" s="12">
        <v>2076.43111</v>
      </c>
      <c r="AI44" s="12">
        <v>2096.74356</v>
      </c>
      <c r="AJ44" s="12">
        <v>2117.76253</v>
      </c>
      <c r="AK44" s="12">
        <v>2099.9228999999996</v>
      </c>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row>
    <row r="46" ht="15.75" customHeight="1">
      <c r="A46" s="1"/>
      <c r="B46" s="1"/>
      <c r="C46" s="1" t="s">
        <v>744</v>
      </c>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row>
    <row r="47" ht="15.75" customHeight="1">
      <c r="A47" s="1"/>
      <c r="B47" s="5">
        <v>2800.0</v>
      </c>
      <c r="C47" s="5">
        <v>2900.0</v>
      </c>
      <c r="D47" s="5">
        <v>3000.0</v>
      </c>
      <c r="E47" s="5">
        <v>3100.0</v>
      </c>
      <c r="F47" s="5">
        <v>3200.0</v>
      </c>
      <c r="G47" s="5">
        <v>3300.0</v>
      </c>
      <c r="H47" s="5">
        <v>3400.0</v>
      </c>
      <c r="I47" s="5">
        <v>3500.0</v>
      </c>
      <c r="J47" s="5">
        <v>3600.0</v>
      </c>
      <c r="K47" s="5">
        <v>3700.0</v>
      </c>
      <c r="L47" s="5">
        <v>3800.0</v>
      </c>
      <c r="M47" s="5">
        <v>3900.0</v>
      </c>
      <c r="N47" s="5">
        <v>4000.0</v>
      </c>
      <c r="O47" s="5">
        <v>4100.0</v>
      </c>
      <c r="P47" s="5">
        <v>4200.0</v>
      </c>
      <c r="Q47" s="5">
        <v>4300.0</v>
      </c>
      <c r="R47" s="5">
        <v>4400.0</v>
      </c>
      <c r="S47" s="5">
        <v>4500.0</v>
      </c>
      <c r="T47" s="5">
        <v>4600.0</v>
      </c>
      <c r="U47" s="5">
        <v>4700.0</v>
      </c>
      <c r="V47" s="5">
        <v>4800.0</v>
      </c>
      <c r="W47" s="5">
        <v>4900.0</v>
      </c>
      <c r="X47" s="5">
        <v>5000.0</v>
      </c>
      <c r="Y47" s="5">
        <v>5100.0</v>
      </c>
      <c r="Z47" s="5">
        <v>5200.0</v>
      </c>
      <c r="AA47" s="5">
        <v>5300.0</v>
      </c>
      <c r="AB47" s="5">
        <v>5400.0</v>
      </c>
      <c r="AC47" s="5">
        <v>5500.0</v>
      </c>
      <c r="AD47" s="5">
        <v>5600.0</v>
      </c>
      <c r="AE47" s="5">
        <v>5700.0</v>
      </c>
      <c r="AF47" s="5">
        <v>5800.0</v>
      </c>
      <c r="AG47" s="5">
        <v>5900.0</v>
      </c>
      <c r="AH47" s="5">
        <v>6000.0</v>
      </c>
      <c r="AI47" s="5">
        <v>6100.0</v>
      </c>
      <c r="AJ47" s="5">
        <v>6200.0</v>
      </c>
      <c r="AK47" s="5">
        <v>6300.0</v>
      </c>
      <c r="AL47" s="5">
        <v>6400.0</v>
      </c>
      <c r="AM47" s="5">
        <v>6500.0</v>
      </c>
      <c r="AN47" s="5">
        <v>6600.0</v>
      </c>
      <c r="AO47" s="5">
        <v>6700.0</v>
      </c>
      <c r="AP47" s="5">
        <v>6800.0</v>
      </c>
      <c r="AQ47" s="5">
        <v>6900.0</v>
      </c>
      <c r="AR47" s="5">
        <v>7000.0</v>
      </c>
      <c r="AS47" s="5">
        <v>7100.0</v>
      </c>
      <c r="AT47" s="5">
        <v>7200.0</v>
      </c>
      <c r="AU47" s="5">
        <v>7300.0</v>
      </c>
      <c r="AV47" s="5">
        <v>7400.0</v>
      </c>
      <c r="AW47" s="5">
        <v>7500.0</v>
      </c>
      <c r="AX47" s="5">
        <v>7600.0</v>
      </c>
      <c r="AY47" s="5">
        <v>7700.0</v>
      </c>
      <c r="AZ47" s="5">
        <v>7800.0</v>
      </c>
      <c r="BA47" s="5">
        <v>7900.0</v>
      </c>
      <c r="BB47" s="5">
        <v>8000.0</v>
      </c>
      <c r="BC47" s="5">
        <v>8100.0</v>
      </c>
      <c r="BD47" s="5">
        <v>8200.0</v>
      </c>
      <c r="BE47" s="5">
        <v>8300.0</v>
      </c>
      <c r="BF47" s="5">
        <v>8400.0</v>
      </c>
      <c r="BG47" s="5">
        <v>8500.0</v>
      </c>
      <c r="BH47" s="5">
        <v>8600.0</v>
      </c>
      <c r="BI47" s="5">
        <v>8700.0</v>
      </c>
      <c r="BJ47" s="5">
        <v>8800.0</v>
      </c>
      <c r="BK47" s="5">
        <v>8900.0</v>
      </c>
      <c r="BL47" s="5">
        <v>9000.0</v>
      </c>
      <c r="BM47" s="5">
        <v>9100.0</v>
      </c>
      <c r="BN47" s="5">
        <v>9200.0</v>
      </c>
      <c r="BO47" s="5">
        <v>9300.0</v>
      </c>
      <c r="BP47" s="5">
        <v>9400.0</v>
      </c>
      <c r="BQ47" s="5">
        <v>9500.0</v>
      </c>
      <c r="BR47" s="5">
        <v>9600.0</v>
      </c>
      <c r="BS47" s="5">
        <v>9700.0</v>
      </c>
      <c r="BT47" s="5">
        <v>9800.0</v>
      </c>
      <c r="BU47" s="5">
        <v>9900.0</v>
      </c>
      <c r="BV47" s="5">
        <v>10000.0</v>
      </c>
      <c r="BW47" s="1"/>
      <c r="BX47" s="1"/>
      <c r="BY47" s="1"/>
      <c r="BZ47" s="1"/>
      <c r="CA47" s="1"/>
      <c r="CB47" s="1"/>
      <c r="CC47" s="1"/>
      <c r="CD47" s="1"/>
    </row>
    <row r="48" ht="15.75" customHeight="1">
      <c r="A48" s="5">
        <v>2000.0</v>
      </c>
      <c r="B48" s="12">
        <v>2056.9498599999997</v>
      </c>
      <c r="C48" s="12">
        <v>2077.2519199999997</v>
      </c>
      <c r="D48" s="12">
        <v>2097.5643699999996</v>
      </c>
      <c r="E48" s="12">
        <v>2117.87682</v>
      </c>
      <c r="F48" s="12">
        <v>2138.18927</v>
      </c>
      <c r="G48" s="12">
        <v>2158.5017199999998</v>
      </c>
      <c r="H48" s="12">
        <v>2178.81417</v>
      </c>
      <c r="I48" s="12">
        <v>2199.1266199999995</v>
      </c>
      <c r="J48" s="12">
        <v>2219.43907</v>
      </c>
      <c r="K48" s="12">
        <v>2239.75152</v>
      </c>
      <c r="L48" s="12">
        <v>2260.0639699999997</v>
      </c>
      <c r="M48" s="12">
        <v>2280.3660299999997</v>
      </c>
      <c r="N48" s="12">
        <v>2300.67848</v>
      </c>
      <c r="O48" s="12">
        <v>2320.99093</v>
      </c>
      <c r="P48" s="12">
        <v>2341.30338</v>
      </c>
      <c r="Q48" s="12">
        <v>2363.0288699999996</v>
      </c>
      <c r="R48" s="12">
        <v>2383.34132</v>
      </c>
      <c r="S48" s="12">
        <v>2403.6537699999994</v>
      </c>
      <c r="T48" s="12">
        <v>2423.96622</v>
      </c>
      <c r="U48" s="12">
        <v>2444.27867</v>
      </c>
      <c r="V48" s="12">
        <v>2464.58073</v>
      </c>
      <c r="W48" s="12">
        <v>2484.8931799999996</v>
      </c>
      <c r="X48" s="12">
        <v>2505.20563</v>
      </c>
      <c r="Y48" s="12">
        <v>2525.51808</v>
      </c>
      <c r="Z48" s="12">
        <v>2545.8305299999997</v>
      </c>
      <c r="AA48" s="12">
        <v>2566.14298</v>
      </c>
      <c r="AB48" s="12">
        <v>2586.4554299999995</v>
      </c>
      <c r="AC48" s="12">
        <v>2606.76788</v>
      </c>
      <c r="AD48" s="12">
        <v>2627.08033</v>
      </c>
      <c r="AE48" s="12">
        <v>2647.3927799999997</v>
      </c>
      <c r="AF48" s="12">
        <v>2667.6948399999997</v>
      </c>
      <c r="AG48" s="12">
        <v>2688.00729</v>
      </c>
      <c r="AH48" s="12">
        <v>2708.3197399999995</v>
      </c>
      <c r="AI48" s="12">
        <v>2730.04523</v>
      </c>
      <c r="AJ48" s="12">
        <v>2750.3576799999996</v>
      </c>
      <c r="AK48" s="12">
        <v>2770.67013</v>
      </c>
      <c r="AL48" s="12">
        <v>2790.9825799999994</v>
      </c>
      <c r="AM48" s="12">
        <v>2831.5970899999998</v>
      </c>
      <c r="AN48" s="12">
        <v>2851.90954</v>
      </c>
      <c r="AO48" s="12">
        <v>2892.5136599999996</v>
      </c>
      <c r="AP48" s="12">
        <v>2912.8261099999995</v>
      </c>
      <c r="AQ48" s="12">
        <v>2933.13856</v>
      </c>
      <c r="AR48" s="12">
        <v>2953.4510099999998</v>
      </c>
      <c r="AS48" s="12">
        <v>2973.7634599999997</v>
      </c>
      <c r="AT48" s="12">
        <v>2994.07591</v>
      </c>
      <c r="AU48" s="12">
        <v>3014.3883599999995</v>
      </c>
      <c r="AV48" s="12">
        <v>3034.70081</v>
      </c>
      <c r="AW48" s="12">
        <v>3055.0132599999997</v>
      </c>
      <c r="AX48" s="12">
        <v>3075.3153199999997</v>
      </c>
      <c r="AY48" s="12">
        <v>3095.6277699999996</v>
      </c>
      <c r="AZ48" s="12">
        <v>3115.94022</v>
      </c>
      <c r="BA48" s="12">
        <v>3137.6657099999998</v>
      </c>
      <c r="BB48" s="12">
        <v>3157.9781599999997</v>
      </c>
      <c r="BC48" s="12">
        <v>3178.2906099999996</v>
      </c>
      <c r="BD48" s="12">
        <v>3198.60306</v>
      </c>
      <c r="BE48" s="12">
        <v>3218.91551</v>
      </c>
      <c r="BF48" s="12">
        <v>3239.2279599999997</v>
      </c>
      <c r="BG48" s="12">
        <v>3259.5300199999997</v>
      </c>
      <c r="BH48" s="12">
        <v>3279.8424699999996</v>
      </c>
      <c r="BI48" s="12">
        <v>3300.15492</v>
      </c>
      <c r="BJ48" s="12">
        <v>3320.46737</v>
      </c>
      <c r="BK48" s="12">
        <v>3340.7798199999997</v>
      </c>
      <c r="BL48" s="12">
        <v>3361.0922699999996</v>
      </c>
      <c r="BM48" s="12">
        <v>3381.40472</v>
      </c>
      <c r="BN48" s="12">
        <v>3401.71717</v>
      </c>
      <c r="BO48" s="12">
        <v>3422.02962</v>
      </c>
      <c r="BP48" s="12">
        <v>3442.3420699999997</v>
      </c>
      <c r="BQ48" s="12">
        <v>3462.6441299999997</v>
      </c>
      <c r="BR48" s="12">
        <v>3482.9565799999996</v>
      </c>
      <c r="BS48" s="12">
        <v>3504.68207</v>
      </c>
      <c r="BT48" s="12">
        <v>3524.9945199999997</v>
      </c>
      <c r="BU48" s="12">
        <v>3545.3069699999996</v>
      </c>
      <c r="BV48" s="12">
        <v>3565.61942</v>
      </c>
      <c r="BW48" s="1"/>
      <c r="BX48" s="1"/>
      <c r="BY48" s="1"/>
      <c r="BZ48" s="1"/>
      <c r="CA48" s="1"/>
      <c r="CB48" s="1"/>
      <c r="CC48" s="1"/>
      <c r="CD48" s="1"/>
    </row>
    <row r="49" ht="15.75" customHeight="1">
      <c r="A49" s="5">
        <v>2100.0</v>
      </c>
      <c r="B49" s="12">
        <v>2107.88164</v>
      </c>
      <c r="C49" s="12">
        <v>2128.19409</v>
      </c>
      <c r="D49" s="12">
        <v>2148.50654</v>
      </c>
      <c r="E49" s="12">
        <v>2168.8189899999998</v>
      </c>
      <c r="F49" s="12">
        <v>2189.1210499999997</v>
      </c>
      <c r="G49" s="12">
        <v>2209.4334999999996</v>
      </c>
      <c r="H49" s="12">
        <v>2229.74595</v>
      </c>
      <c r="I49" s="12">
        <v>2250.0584</v>
      </c>
      <c r="J49" s="12">
        <v>2270.37085</v>
      </c>
      <c r="K49" s="12">
        <v>2290.6832999999997</v>
      </c>
      <c r="L49" s="12">
        <v>2310.99575</v>
      </c>
      <c r="M49" s="12">
        <v>2331.3082</v>
      </c>
      <c r="N49" s="12">
        <v>2351.62065</v>
      </c>
      <c r="O49" s="12">
        <v>2371.92271</v>
      </c>
      <c r="P49" s="12">
        <v>2392.2351599999997</v>
      </c>
      <c r="Q49" s="12">
        <v>2413.9606499999995</v>
      </c>
      <c r="R49" s="12">
        <v>2434.2731</v>
      </c>
      <c r="S49" s="12">
        <v>2454.58555</v>
      </c>
      <c r="T49" s="12">
        <v>2474.8979999999997</v>
      </c>
      <c r="U49" s="12">
        <v>2495.21045</v>
      </c>
      <c r="V49" s="12">
        <v>2515.5229</v>
      </c>
      <c r="W49" s="12">
        <v>2535.83535</v>
      </c>
      <c r="X49" s="12">
        <v>2556.13741</v>
      </c>
      <c r="Y49" s="12">
        <v>2576.4498599999997</v>
      </c>
      <c r="Z49" s="12">
        <v>2596.7623099999996</v>
      </c>
      <c r="AA49" s="12">
        <v>2617.07476</v>
      </c>
      <c r="AB49" s="12">
        <v>2637.38721</v>
      </c>
      <c r="AC49" s="12">
        <v>2657.6996599999998</v>
      </c>
      <c r="AD49" s="12">
        <v>2678.0121099999997</v>
      </c>
      <c r="AE49" s="12">
        <v>2698.3245599999996</v>
      </c>
      <c r="AF49" s="12">
        <v>2718.63701</v>
      </c>
      <c r="AG49" s="12">
        <v>2738.94946</v>
      </c>
      <c r="AH49" s="12">
        <v>2759.25152</v>
      </c>
      <c r="AI49" s="12">
        <v>2780.97701</v>
      </c>
      <c r="AJ49" s="12">
        <v>2821.5915199999995</v>
      </c>
      <c r="AK49" s="12">
        <v>2841.90397</v>
      </c>
      <c r="AL49" s="12">
        <v>2882.51848</v>
      </c>
      <c r="AM49" s="12">
        <v>2902.8309299999996</v>
      </c>
      <c r="AN49" s="12">
        <v>2923.14338</v>
      </c>
      <c r="AO49" s="12">
        <v>2943.4558299999994</v>
      </c>
      <c r="AP49" s="12">
        <v>2963.76828</v>
      </c>
      <c r="AQ49" s="12">
        <v>2984.0703399999998</v>
      </c>
      <c r="AR49" s="12">
        <v>3004.38279</v>
      </c>
      <c r="AS49" s="12">
        <v>3024.6952399999996</v>
      </c>
      <c r="AT49" s="12">
        <v>3045.00769</v>
      </c>
      <c r="AU49" s="12">
        <v>3065.32014</v>
      </c>
      <c r="AV49" s="12">
        <v>3085.6325899999997</v>
      </c>
      <c r="AW49" s="12">
        <v>3105.94504</v>
      </c>
      <c r="AX49" s="12">
        <v>3126.2574899999995</v>
      </c>
      <c r="AY49" s="12">
        <v>3146.56994</v>
      </c>
      <c r="AZ49" s="12">
        <v>3166.872</v>
      </c>
      <c r="BA49" s="12">
        <v>3188.5974899999997</v>
      </c>
      <c r="BB49" s="12">
        <v>3208.90994</v>
      </c>
      <c r="BC49" s="12">
        <v>3229.22239</v>
      </c>
      <c r="BD49" s="12">
        <v>3249.53484</v>
      </c>
      <c r="BE49" s="12">
        <v>3269.8472899999997</v>
      </c>
      <c r="BF49" s="12">
        <v>3290.1597399999996</v>
      </c>
      <c r="BG49" s="12">
        <v>3310.47219</v>
      </c>
      <c r="BH49" s="12">
        <v>3330.78464</v>
      </c>
      <c r="BI49" s="12">
        <v>3351.0867</v>
      </c>
      <c r="BJ49" s="12">
        <v>3371.3991499999997</v>
      </c>
      <c r="BK49" s="12">
        <v>3391.7115999999996</v>
      </c>
      <c r="BL49" s="12">
        <v>3412.0240499999995</v>
      </c>
      <c r="BM49" s="12">
        <v>3432.3365</v>
      </c>
      <c r="BN49" s="12">
        <v>3452.64895</v>
      </c>
      <c r="BO49" s="12">
        <v>3472.9613999999997</v>
      </c>
      <c r="BP49" s="12">
        <v>3493.27385</v>
      </c>
      <c r="BQ49" s="12">
        <v>3513.5862999999995</v>
      </c>
      <c r="BR49" s="12">
        <v>3533.8883599999995</v>
      </c>
      <c r="BS49" s="12">
        <v>3555.6138499999997</v>
      </c>
      <c r="BT49" s="12">
        <v>3575.9262999999996</v>
      </c>
      <c r="BU49" s="12">
        <v>3596.2387499999995</v>
      </c>
      <c r="BV49" s="12">
        <v>3616.5512</v>
      </c>
      <c r="BW49" s="1"/>
      <c r="BX49" s="1"/>
      <c r="BY49" s="1"/>
      <c r="BZ49" s="1"/>
      <c r="CA49" s="1"/>
      <c r="CB49" s="1"/>
      <c r="CC49" s="1"/>
      <c r="CD49" s="1"/>
    </row>
    <row r="50" ht="15.75" customHeight="1">
      <c r="A50" s="5">
        <v>2200.0</v>
      </c>
      <c r="B50" s="12">
        <v>2158.81342</v>
      </c>
      <c r="C50" s="12">
        <v>2179.12587</v>
      </c>
      <c r="D50" s="12">
        <v>2199.4383199999997</v>
      </c>
      <c r="E50" s="12">
        <v>2219.7507699999996</v>
      </c>
      <c r="F50" s="12">
        <v>2240.06322</v>
      </c>
      <c r="G50" s="12">
        <v>2260.37567</v>
      </c>
      <c r="H50" s="12">
        <v>2280.67773</v>
      </c>
      <c r="I50" s="12">
        <v>2300.99018</v>
      </c>
      <c r="J50" s="12">
        <v>2321.3026299999997</v>
      </c>
      <c r="K50" s="12">
        <v>2341.6150799999996</v>
      </c>
      <c r="L50" s="12">
        <v>2361.92753</v>
      </c>
      <c r="M50" s="12">
        <v>2382.23998</v>
      </c>
      <c r="N50" s="12">
        <v>2402.5524299999997</v>
      </c>
      <c r="O50" s="12">
        <v>2422.86488</v>
      </c>
      <c r="P50" s="12">
        <v>2443.1773299999995</v>
      </c>
      <c r="Q50" s="12">
        <v>2464.89243</v>
      </c>
      <c r="R50" s="12">
        <v>2485.20488</v>
      </c>
      <c r="S50" s="12">
        <v>2505.5173299999997</v>
      </c>
      <c r="T50" s="12">
        <v>2525.8297799999996</v>
      </c>
      <c r="U50" s="12">
        <v>2546.14223</v>
      </c>
      <c r="V50" s="12">
        <v>2566.45468</v>
      </c>
      <c r="W50" s="12">
        <v>2586.7671299999997</v>
      </c>
      <c r="X50" s="12">
        <v>2607.0795799999996</v>
      </c>
      <c r="Y50" s="12">
        <v>2627.39203</v>
      </c>
      <c r="Z50" s="12">
        <v>2647.69409</v>
      </c>
      <c r="AA50" s="12">
        <v>2668.00654</v>
      </c>
      <c r="AB50" s="12">
        <v>2688.3189899999998</v>
      </c>
      <c r="AC50" s="12">
        <v>2708.6314399999997</v>
      </c>
      <c r="AD50" s="12">
        <v>2728.94389</v>
      </c>
      <c r="AE50" s="12">
        <v>2749.25634</v>
      </c>
      <c r="AF50" s="12">
        <v>2769.56879</v>
      </c>
      <c r="AG50" s="12">
        <v>2810.1832999999997</v>
      </c>
      <c r="AH50" s="12">
        <v>2830.4957499999996</v>
      </c>
      <c r="AI50" s="12">
        <v>2872.51291</v>
      </c>
      <c r="AJ50" s="12">
        <v>2892.8253599999994</v>
      </c>
      <c r="AK50" s="12">
        <v>2913.1378099999997</v>
      </c>
      <c r="AL50" s="12">
        <v>2933.45026</v>
      </c>
      <c r="AM50" s="12">
        <v>2953.7627099999995</v>
      </c>
      <c r="AN50" s="12">
        <v>2974.07516</v>
      </c>
      <c r="AO50" s="12">
        <v>2994.3876099999998</v>
      </c>
      <c r="AP50" s="12">
        <v>3014.7000599999997</v>
      </c>
      <c r="AQ50" s="12">
        <v>3035.01251</v>
      </c>
      <c r="AR50" s="12">
        <v>3055.3249599999995</v>
      </c>
      <c r="AS50" s="12">
        <v>3075.6270199999994</v>
      </c>
      <c r="AT50" s="12">
        <v>3095.93947</v>
      </c>
      <c r="AU50" s="12">
        <v>3116.25192</v>
      </c>
      <c r="AV50" s="12">
        <v>3136.5643699999996</v>
      </c>
      <c r="AW50" s="12">
        <v>3156.87682</v>
      </c>
      <c r="AX50" s="12">
        <v>3177.1892699999994</v>
      </c>
      <c r="AY50" s="12">
        <v>3197.5017199999998</v>
      </c>
      <c r="AZ50" s="12">
        <v>3217.81417</v>
      </c>
      <c r="BA50" s="12">
        <v>3239.53966</v>
      </c>
      <c r="BB50" s="12">
        <v>3259.84172</v>
      </c>
      <c r="BC50" s="12">
        <v>3280.15417</v>
      </c>
      <c r="BD50" s="12">
        <v>3300.4666199999997</v>
      </c>
      <c r="BE50" s="12">
        <v>3320.77907</v>
      </c>
      <c r="BF50" s="12">
        <v>3341.0915199999995</v>
      </c>
      <c r="BG50" s="12">
        <v>3361.40397</v>
      </c>
      <c r="BH50" s="12">
        <v>3381.7164199999997</v>
      </c>
      <c r="BI50" s="12">
        <v>3402.0288699999996</v>
      </c>
      <c r="BJ50" s="12">
        <v>3422.34132</v>
      </c>
      <c r="BK50" s="12">
        <v>3442.64338</v>
      </c>
      <c r="BL50" s="12">
        <v>3462.9558299999994</v>
      </c>
      <c r="BM50" s="12">
        <v>3483.26828</v>
      </c>
      <c r="BN50" s="12">
        <v>3503.58073</v>
      </c>
      <c r="BO50" s="12">
        <v>3523.8931799999996</v>
      </c>
      <c r="BP50" s="12">
        <v>3544.20563</v>
      </c>
      <c r="BQ50" s="12">
        <v>3564.5180799999994</v>
      </c>
      <c r="BR50" s="12">
        <v>3584.8305299999997</v>
      </c>
      <c r="BS50" s="12">
        <v>3606.5560199999995</v>
      </c>
      <c r="BT50" s="12">
        <v>3626.8580799999995</v>
      </c>
      <c r="BU50" s="12">
        <v>3647.17053</v>
      </c>
      <c r="BV50" s="12">
        <v>3667.4829799999998</v>
      </c>
      <c r="BW50" s="1"/>
      <c r="BX50" s="1"/>
      <c r="BY50" s="1"/>
      <c r="BZ50" s="1"/>
      <c r="CA50" s="1"/>
      <c r="CB50" s="1"/>
      <c r="CC50" s="1"/>
      <c r="CD50" s="1"/>
    </row>
    <row r="51" ht="15.75" customHeight="1">
      <c r="A51" s="5">
        <v>2300.0</v>
      </c>
      <c r="B51" s="12">
        <v>2209.7452</v>
      </c>
      <c r="C51" s="12">
        <v>2230.0576499999997</v>
      </c>
      <c r="D51" s="12">
        <v>2250.3701</v>
      </c>
      <c r="E51" s="12">
        <v>2270.6825499999995</v>
      </c>
      <c r="F51" s="12">
        <v>2290.995</v>
      </c>
      <c r="G51" s="12">
        <v>2311.3074500000002</v>
      </c>
      <c r="H51" s="12">
        <v>2331.6198999999997</v>
      </c>
      <c r="I51" s="12">
        <v>2351.93235</v>
      </c>
      <c r="J51" s="12">
        <v>2372.23441</v>
      </c>
      <c r="K51" s="12">
        <v>2392.5468599999995</v>
      </c>
      <c r="L51" s="12">
        <v>2412.85931</v>
      </c>
      <c r="M51" s="12">
        <v>2433.17176</v>
      </c>
      <c r="N51" s="12">
        <v>2453.4842099999996</v>
      </c>
      <c r="O51" s="12">
        <v>2473.79666</v>
      </c>
      <c r="P51" s="12">
        <v>2494.1091099999994</v>
      </c>
      <c r="Q51" s="12">
        <v>2515.8346</v>
      </c>
      <c r="R51" s="12">
        <v>2536.1470499999996</v>
      </c>
      <c r="S51" s="12">
        <v>2556.4491099999996</v>
      </c>
      <c r="T51" s="12">
        <v>2576.76156</v>
      </c>
      <c r="U51" s="12">
        <v>2597.07401</v>
      </c>
      <c r="V51" s="12">
        <v>2617.3864599999997</v>
      </c>
      <c r="W51" s="12">
        <v>2637.69891</v>
      </c>
      <c r="X51" s="12">
        <v>2658.0113599999995</v>
      </c>
      <c r="Y51" s="12">
        <v>2678.32381</v>
      </c>
      <c r="Z51" s="12">
        <v>2698.6362599999998</v>
      </c>
      <c r="AA51" s="12">
        <v>2718.9487099999997</v>
      </c>
      <c r="AB51" s="12">
        <v>2739.2507699999996</v>
      </c>
      <c r="AC51" s="12">
        <v>2759.56322</v>
      </c>
      <c r="AD51" s="12">
        <v>2800.17773</v>
      </c>
      <c r="AE51" s="12">
        <v>2820.49018</v>
      </c>
      <c r="AF51" s="12">
        <v>2861.1046899999997</v>
      </c>
      <c r="AG51" s="12">
        <v>2881.41714</v>
      </c>
      <c r="AH51" s="12">
        <v>2901.72959</v>
      </c>
      <c r="AI51" s="12">
        <v>2923.4550799999997</v>
      </c>
      <c r="AJ51" s="12">
        <v>2943.7675299999996</v>
      </c>
      <c r="AK51" s="12">
        <v>2964.0695899999996</v>
      </c>
      <c r="AL51" s="12">
        <v>2984.38204</v>
      </c>
      <c r="AM51" s="12">
        <v>3004.6944899999994</v>
      </c>
      <c r="AN51" s="12">
        <v>3025.0069399999998</v>
      </c>
      <c r="AO51" s="12">
        <v>3045.31939</v>
      </c>
      <c r="AP51" s="12">
        <v>3065.6318399999996</v>
      </c>
      <c r="AQ51" s="12">
        <v>3085.94429</v>
      </c>
      <c r="AR51" s="12">
        <v>3106.25674</v>
      </c>
      <c r="AS51" s="12">
        <v>3126.5691899999997</v>
      </c>
      <c r="AT51" s="12">
        <v>3146.8712499999997</v>
      </c>
      <c r="AU51" s="12">
        <v>3167.1837</v>
      </c>
      <c r="AV51" s="12">
        <v>3187.4961499999995</v>
      </c>
      <c r="AW51" s="12">
        <v>3207.8086</v>
      </c>
      <c r="AX51" s="12">
        <v>3228.1210499999997</v>
      </c>
      <c r="AY51" s="12">
        <v>3248.4334999999996</v>
      </c>
      <c r="AZ51" s="12">
        <v>3268.74595</v>
      </c>
      <c r="BA51" s="12">
        <v>3290.47144</v>
      </c>
      <c r="BB51" s="12">
        <v>3310.78389</v>
      </c>
      <c r="BC51" s="12">
        <v>3331.08595</v>
      </c>
      <c r="BD51" s="12">
        <v>3351.3983999999996</v>
      </c>
      <c r="BE51" s="12">
        <v>3371.71085</v>
      </c>
      <c r="BF51" s="12">
        <v>3392.0232999999994</v>
      </c>
      <c r="BG51" s="12">
        <v>3412.3357499999997</v>
      </c>
      <c r="BH51" s="12">
        <v>3432.6482</v>
      </c>
      <c r="BI51" s="12">
        <v>3452.9606499999995</v>
      </c>
      <c r="BJ51" s="12">
        <v>3473.2731</v>
      </c>
      <c r="BK51" s="12">
        <v>3493.5855499999993</v>
      </c>
      <c r="BL51" s="12">
        <v>3513.8876099999993</v>
      </c>
      <c r="BM51" s="12">
        <v>3534.2000599999997</v>
      </c>
      <c r="BN51" s="12">
        <v>3554.51251</v>
      </c>
      <c r="BO51" s="12">
        <v>3574.8249599999995</v>
      </c>
      <c r="BP51" s="12">
        <v>3595.13741</v>
      </c>
      <c r="BQ51" s="12">
        <v>3615.4498599999997</v>
      </c>
      <c r="BR51" s="12">
        <v>3635.7623099999996</v>
      </c>
      <c r="BS51" s="12">
        <v>3657.4877999999994</v>
      </c>
      <c r="BT51" s="12">
        <v>3677.80025</v>
      </c>
      <c r="BU51" s="12">
        <v>3698.1127</v>
      </c>
      <c r="BV51" s="12">
        <v>3718.4147599999997</v>
      </c>
      <c r="BW51" s="1"/>
      <c r="BX51" s="1"/>
      <c r="BY51" s="1"/>
      <c r="BZ51" s="1"/>
      <c r="CA51" s="1"/>
      <c r="CB51" s="1"/>
      <c r="CC51" s="1"/>
      <c r="CD51" s="1"/>
    </row>
    <row r="52" ht="15.75" customHeight="1">
      <c r="A52" s="5">
        <v>2400.0</v>
      </c>
      <c r="B52" s="12">
        <v>2260.67698</v>
      </c>
      <c r="C52" s="12">
        <v>2280.9894299999996</v>
      </c>
      <c r="D52" s="12">
        <v>2301.30188</v>
      </c>
      <c r="E52" s="12">
        <v>2321.6143299999994</v>
      </c>
      <c r="F52" s="12">
        <v>2341.92678</v>
      </c>
      <c r="G52" s="12">
        <v>2362.23923</v>
      </c>
      <c r="H52" s="12">
        <v>2382.5516799999996</v>
      </c>
      <c r="I52" s="12">
        <v>2402.86413</v>
      </c>
      <c r="J52" s="12">
        <v>2423.17658</v>
      </c>
      <c r="K52" s="12">
        <v>2443.4890299999997</v>
      </c>
      <c r="L52" s="12">
        <v>2463.7910899999997</v>
      </c>
      <c r="M52" s="12">
        <v>2484.10354</v>
      </c>
      <c r="N52" s="12">
        <v>2504.4159899999995</v>
      </c>
      <c r="O52" s="12">
        <v>2524.72844</v>
      </c>
      <c r="P52" s="12">
        <v>2545.04089</v>
      </c>
      <c r="Q52" s="12">
        <v>2566.76638</v>
      </c>
      <c r="R52" s="12">
        <v>2587.0788299999995</v>
      </c>
      <c r="S52" s="12">
        <v>2607.39128</v>
      </c>
      <c r="T52" s="12">
        <v>2627.70373</v>
      </c>
      <c r="U52" s="12">
        <v>2648.00579</v>
      </c>
      <c r="V52" s="12">
        <v>2668.3182399999996</v>
      </c>
      <c r="W52" s="12">
        <v>2688.63069</v>
      </c>
      <c r="X52" s="12">
        <v>2708.94314</v>
      </c>
      <c r="Y52" s="12">
        <v>2729.2555899999998</v>
      </c>
      <c r="Z52" s="12">
        <v>2749.56804</v>
      </c>
      <c r="AA52" s="12">
        <v>2790.1825499999995</v>
      </c>
      <c r="AB52" s="12">
        <v>2810.495</v>
      </c>
      <c r="AC52" s="12">
        <v>2851.10951</v>
      </c>
      <c r="AD52" s="12">
        <v>2871.4115699999998</v>
      </c>
      <c r="AE52" s="12">
        <v>2891.7240199999997</v>
      </c>
      <c r="AF52" s="12">
        <v>2912.03647</v>
      </c>
      <c r="AG52" s="12">
        <v>2932.34892</v>
      </c>
      <c r="AH52" s="12">
        <v>2952.66137</v>
      </c>
      <c r="AI52" s="12">
        <v>2974.3868599999996</v>
      </c>
      <c r="AJ52" s="12">
        <v>2994.69931</v>
      </c>
      <c r="AK52" s="12">
        <v>3015.01176</v>
      </c>
      <c r="AL52" s="12">
        <v>3035.3242099999998</v>
      </c>
      <c r="AM52" s="12">
        <v>3055.6262699999997</v>
      </c>
      <c r="AN52" s="12">
        <v>3075.9387199999996</v>
      </c>
      <c r="AO52" s="12">
        <v>3096.25117</v>
      </c>
      <c r="AP52" s="12">
        <v>3116.56362</v>
      </c>
      <c r="AQ52" s="12">
        <v>3136.87607</v>
      </c>
      <c r="AR52" s="12">
        <v>3157.1885199999997</v>
      </c>
      <c r="AS52" s="12">
        <v>3177.5009699999996</v>
      </c>
      <c r="AT52" s="12">
        <v>3197.81342</v>
      </c>
      <c r="AU52" s="12">
        <v>3218.12587</v>
      </c>
      <c r="AV52" s="12">
        <v>3238.42793</v>
      </c>
      <c r="AW52" s="12">
        <v>3258.7403799999997</v>
      </c>
      <c r="AX52" s="12">
        <v>3279.0528299999996</v>
      </c>
      <c r="AY52" s="12">
        <v>3299.3652799999995</v>
      </c>
      <c r="AZ52" s="12">
        <v>3319.67773</v>
      </c>
      <c r="BA52" s="12">
        <v>3341.4032199999997</v>
      </c>
      <c r="BB52" s="12">
        <v>3361.71567</v>
      </c>
      <c r="BC52" s="12">
        <v>3382.0281199999995</v>
      </c>
      <c r="BD52" s="12">
        <v>3402.34057</v>
      </c>
      <c r="BE52" s="12">
        <v>3422.6530199999997</v>
      </c>
      <c r="BF52" s="12">
        <v>3442.9550799999997</v>
      </c>
      <c r="BG52" s="12">
        <v>3463.2675299999996</v>
      </c>
      <c r="BH52" s="12">
        <v>3483.57998</v>
      </c>
      <c r="BI52" s="12">
        <v>3503.8924299999994</v>
      </c>
      <c r="BJ52" s="12">
        <v>3524.20488</v>
      </c>
      <c r="BK52" s="12">
        <v>3544.5173299999997</v>
      </c>
      <c r="BL52" s="12">
        <v>3564.8297799999996</v>
      </c>
      <c r="BM52" s="12">
        <v>3585.14223</v>
      </c>
      <c r="BN52" s="12">
        <v>3605.45468</v>
      </c>
      <c r="BO52" s="12">
        <v>3625.75674</v>
      </c>
      <c r="BP52" s="12">
        <v>3646.0691899999997</v>
      </c>
      <c r="BQ52" s="12">
        <v>3666.38164</v>
      </c>
      <c r="BR52" s="12">
        <v>3686.6940899999995</v>
      </c>
      <c r="BS52" s="12">
        <v>3708.4195799999993</v>
      </c>
      <c r="BT52" s="12">
        <v>3728.7320299999997</v>
      </c>
      <c r="BU52" s="12">
        <v>3749.04448</v>
      </c>
      <c r="BV52" s="12">
        <v>3769.3569299999995</v>
      </c>
      <c r="BW52" s="1"/>
      <c r="BX52" s="1"/>
      <c r="BY52" s="1"/>
      <c r="BZ52" s="1"/>
      <c r="CA52" s="1"/>
      <c r="CB52" s="1"/>
      <c r="CC52" s="1"/>
      <c r="CD52" s="1"/>
    </row>
    <row r="53" ht="15.75" customHeight="1">
      <c r="A53" s="5">
        <v>2500.0</v>
      </c>
      <c r="B53" s="12">
        <v>2311.6191499999995</v>
      </c>
      <c r="C53" s="12">
        <v>2331.9316</v>
      </c>
      <c r="D53" s="12">
        <v>2352.23366</v>
      </c>
      <c r="E53" s="12">
        <v>2372.5461099999998</v>
      </c>
      <c r="F53" s="12">
        <v>2392.8585599999997</v>
      </c>
      <c r="G53" s="12">
        <v>2413.17101</v>
      </c>
      <c r="H53" s="12">
        <v>2433.4834599999995</v>
      </c>
      <c r="I53" s="12">
        <v>2453.79591</v>
      </c>
      <c r="J53" s="12">
        <v>2474.1083599999997</v>
      </c>
      <c r="K53" s="12">
        <v>2494.4208099999996</v>
      </c>
      <c r="L53" s="12">
        <v>2514.73326</v>
      </c>
      <c r="M53" s="12">
        <v>2535.04571</v>
      </c>
      <c r="N53" s="12">
        <v>2555.34777</v>
      </c>
      <c r="O53" s="12">
        <v>2575.6602199999998</v>
      </c>
      <c r="P53" s="12">
        <v>2595.97267</v>
      </c>
      <c r="Q53" s="12">
        <v>2617.69816</v>
      </c>
      <c r="R53" s="12">
        <v>2638.0106099999994</v>
      </c>
      <c r="S53" s="12">
        <v>2658.3230599999997</v>
      </c>
      <c r="T53" s="12">
        <v>2678.63551</v>
      </c>
      <c r="U53" s="12">
        <v>2698.9479599999995</v>
      </c>
      <c r="V53" s="12">
        <v>2719.26041</v>
      </c>
      <c r="W53" s="12">
        <v>2739.56247</v>
      </c>
      <c r="X53" s="12">
        <v>2759.87492</v>
      </c>
      <c r="Y53" s="12">
        <v>2800.4894299999996</v>
      </c>
      <c r="Z53" s="12">
        <v>2820.80188</v>
      </c>
      <c r="AA53" s="12">
        <v>2861.41639</v>
      </c>
      <c r="AB53" s="12">
        <v>2881.7288399999998</v>
      </c>
      <c r="AC53" s="12">
        <v>2902.04129</v>
      </c>
      <c r="AD53" s="12">
        <v>2922.3537399999996</v>
      </c>
      <c r="AE53" s="12">
        <v>2942.66619</v>
      </c>
      <c r="AF53" s="12">
        <v>2962.96825</v>
      </c>
      <c r="AG53" s="12">
        <v>2983.2807</v>
      </c>
      <c r="AH53" s="12">
        <v>3003.5931499999997</v>
      </c>
      <c r="AI53" s="12">
        <v>3025.31864</v>
      </c>
      <c r="AJ53" s="12">
        <v>3045.63109</v>
      </c>
      <c r="AK53" s="12">
        <v>3065.9435399999998</v>
      </c>
      <c r="AL53" s="12">
        <v>3086.2559899999997</v>
      </c>
      <c r="AM53" s="12">
        <v>3106.56844</v>
      </c>
      <c r="AN53" s="12">
        <v>3126.88089</v>
      </c>
      <c r="AO53" s="12">
        <v>3147.18295</v>
      </c>
      <c r="AP53" s="12">
        <v>3167.4954</v>
      </c>
      <c r="AQ53" s="12">
        <v>3187.8078499999997</v>
      </c>
      <c r="AR53" s="12">
        <v>3208.1202999999996</v>
      </c>
      <c r="AS53" s="12">
        <v>3228.43275</v>
      </c>
      <c r="AT53" s="12">
        <v>3248.7452</v>
      </c>
      <c r="AU53" s="12">
        <v>3269.0576499999997</v>
      </c>
      <c r="AV53" s="12">
        <v>3289.3700999999996</v>
      </c>
      <c r="AW53" s="12">
        <v>3309.6825499999995</v>
      </c>
      <c r="AX53" s="12">
        <v>3329.995</v>
      </c>
      <c r="AY53" s="12">
        <v>3350.29706</v>
      </c>
      <c r="AZ53" s="12">
        <v>3370.60951</v>
      </c>
      <c r="BA53" s="12">
        <v>3392.3349999999996</v>
      </c>
      <c r="BB53" s="12">
        <v>3412.64745</v>
      </c>
      <c r="BC53" s="12">
        <v>3432.9599</v>
      </c>
      <c r="BD53" s="12">
        <v>3453.2723499999997</v>
      </c>
      <c r="BE53" s="12">
        <v>3473.5847999999996</v>
      </c>
      <c r="BF53" s="12">
        <v>3493.8972499999995</v>
      </c>
      <c r="BG53" s="12">
        <v>3514.2097</v>
      </c>
      <c r="BH53" s="12">
        <v>3534.51176</v>
      </c>
      <c r="BI53" s="12">
        <v>3554.8242099999998</v>
      </c>
      <c r="BJ53" s="12">
        <v>3575.1366599999997</v>
      </c>
      <c r="BK53" s="12">
        <v>3595.4491099999996</v>
      </c>
      <c r="BL53" s="12">
        <v>3615.76156</v>
      </c>
      <c r="BM53" s="12">
        <v>3636.07401</v>
      </c>
      <c r="BN53" s="12">
        <v>3656.3864599999997</v>
      </c>
      <c r="BO53" s="12">
        <v>3676.6989099999996</v>
      </c>
      <c r="BP53" s="12">
        <v>3697.0113599999995</v>
      </c>
      <c r="BQ53" s="12">
        <v>3717.31342</v>
      </c>
      <c r="BR53" s="12">
        <v>3737.62587</v>
      </c>
      <c r="BS53" s="12">
        <v>3759.3513599999997</v>
      </c>
      <c r="BT53" s="12">
        <v>3779.6638099999996</v>
      </c>
      <c r="BU53" s="12">
        <v>3799.97626</v>
      </c>
      <c r="BV53" s="12">
        <v>3820.28871</v>
      </c>
      <c r="BW53" s="1"/>
      <c r="BX53" s="1"/>
      <c r="BY53" s="1"/>
      <c r="BZ53" s="1"/>
      <c r="CA53" s="1"/>
      <c r="CB53" s="1"/>
      <c r="CC53" s="1"/>
      <c r="CD53" s="1"/>
    </row>
    <row r="54" ht="15.75" customHeight="1">
      <c r="A54" s="5">
        <v>2600.0</v>
      </c>
      <c r="B54" s="12">
        <v>2362.55093</v>
      </c>
      <c r="C54" s="12">
        <v>2382.86338</v>
      </c>
      <c r="D54" s="12">
        <v>2403.1758299999997</v>
      </c>
      <c r="E54" s="12">
        <v>2423.4882799999996</v>
      </c>
      <c r="F54" s="12">
        <v>2443.7903399999996</v>
      </c>
      <c r="G54" s="12">
        <v>2464.10279</v>
      </c>
      <c r="H54" s="12">
        <v>2484.41524</v>
      </c>
      <c r="I54" s="12">
        <v>2504.7276899999997</v>
      </c>
      <c r="J54" s="12">
        <v>2525.04014</v>
      </c>
      <c r="K54" s="12">
        <v>2545.35259</v>
      </c>
      <c r="L54" s="12">
        <v>2565.66504</v>
      </c>
      <c r="M54" s="12">
        <v>2585.9774899999998</v>
      </c>
      <c r="N54" s="12">
        <v>2606.2899399999997</v>
      </c>
      <c r="O54" s="12">
        <v>2626.60239</v>
      </c>
      <c r="P54" s="12">
        <v>2646.90445</v>
      </c>
      <c r="Q54" s="12">
        <v>2668.62994</v>
      </c>
      <c r="R54" s="12">
        <v>2688.94239</v>
      </c>
      <c r="S54" s="12">
        <v>2709.2548399999996</v>
      </c>
      <c r="T54" s="12">
        <v>2729.56729</v>
      </c>
      <c r="U54" s="12">
        <v>2749.87974</v>
      </c>
      <c r="V54" s="12">
        <v>2770.1921899999998</v>
      </c>
      <c r="W54" s="12">
        <v>2810.8067</v>
      </c>
      <c r="X54" s="12">
        <v>2831.10876</v>
      </c>
      <c r="Y54" s="12">
        <v>2871.7232699999995</v>
      </c>
      <c r="Z54" s="12">
        <v>2892.03572</v>
      </c>
      <c r="AA54" s="12">
        <v>2912.34817</v>
      </c>
      <c r="AB54" s="12">
        <v>2932.6606199999997</v>
      </c>
      <c r="AC54" s="12">
        <v>2952.97307</v>
      </c>
      <c r="AD54" s="12">
        <v>2973.2855199999995</v>
      </c>
      <c r="AE54" s="12">
        <v>2993.59797</v>
      </c>
      <c r="AF54" s="12">
        <v>3013.91042</v>
      </c>
      <c r="AG54" s="12">
        <v>3034.2228699999996</v>
      </c>
      <c r="AH54" s="12">
        <v>3054.5249299999996</v>
      </c>
      <c r="AI54" s="12">
        <v>3076.25042</v>
      </c>
      <c r="AJ54" s="12">
        <v>3096.5628699999997</v>
      </c>
      <c r="AK54" s="12">
        <v>3116.87532</v>
      </c>
      <c r="AL54" s="12">
        <v>3137.1877699999995</v>
      </c>
      <c r="AM54" s="12">
        <v>3157.50022</v>
      </c>
      <c r="AN54" s="12">
        <v>3177.81267</v>
      </c>
      <c r="AO54" s="12">
        <v>3198.1251199999997</v>
      </c>
      <c r="AP54" s="12">
        <v>3218.43757</v>
      </c>
      <c r="AQ54" s="12">
        <v>3238.73963</v>
      </c>
      <c r="AR54" s="12">
        <v>3259.0520799999995</v>
      </c>
      <c r="AS54" s="12">
        <v>3279.36453</v>
      </c>
      <c r="AT54" s="12">
        <v>3299.6769799999997</v>
      </c>
      <c r="AU54" s="12">
        <v>3319.9894299999996</v>
      </c>
      <c r="AV54" s="12">
        <v>3340.30188</v>
      </c>
      <c r="AW54" s="12">
        <v>3360.6143299999994</v>
      </c>
      <c r="AX54" s="12">
        <v>3380.92678</v>
      </c>
      <c r="AY54" s="12">
        <v>3401.23923</v>
      </c>
      <c r="AZ54" s="12">
        <v>3421.5412899999997</v>
      </c>
      <c r="BA54" s="12">
        <v>3443.26678</v>
      </c>
      <c r="BB54" s="12">
        <v>3463.57923</v>
      </c>
      <c r="BC54" s="12">
        <v>3483.8916799999997</v>
      </c>
      <c r="BD54" s="12">
        <v>3504.2041299999996</v>
      </c>
      <c r="BE54" s="12">
        <v>3524.5165799999995</v>
      </c>
      <c r="BF54" s="12">
        <v>3544.82903</v>
      </c>
      <c r="BG54" s="12">
        <v>3565.14148</v>
      </c>
      <c r="BH54" s="12">
        <v>3585.4539299999997</v>
      </c>
      <c r="BI54" s="12">
        <v>3605.7559899999997</v>
      </c>
      <c r="BJ54" s="12">
        <v>3626.0684399999996</v>
      </c>
      <c r="BK54" s="12">
        <v>3646.38089</v>
      </c>
      <c r="BL54" s="12">
        <v>3666.69334</v>
      </c>
      <c r="BM54" s="12">
        <v>3687.0057899999997</v>
      </c>
      <c r="BN54" s="12">
        <v>3707.3182399999996</v>
      </c>
      <c r="BO54" s="12">
        <v>3727.63069</v>
      </c>
      <c r="BP54" s="12">
        <v>3747.94314</v>
      </c>
      <c r="BQ54" s="12">
        <v>3768.2555899999998</v>
      </c>
      <c r="BR54" s="12">
        <v>3788.5680399999997</v>
      </c>
      <c r="BS54" s="12">
        <v>3810.28314</v>
      </c>
      <c r="BT54" s="12">
        <v>3830.5955899999994</v>
      </c>
      <c r="BU54" s="12">
        <v>3850.90804</v>
      </c>
      <c r="BV54" s="12">
        <v>3871.2204899999997</v>
      </c>
      <c r="BW54" s="1"/>
      <c r="BX54" s="1"/>
      <c r="BY54" s="1"/>
      <c r="BZ54" s="1"/>
      <c r="CA54" s="1"/>
      <c r="CB54" s="1"/>
      <c r="CC54" s="1"/>
      <c r="CD54" s="1"/>
    </row>
    <row r="55" ht="15.75" customHeight="1">
      <c r="A55" s="5">
        <v>2700.0</v>
      </c>
      <c r="B55" s="12">
        <v>2413.4827099999998</v>
      </c>
      <c r="C55" s="12">
        <v>2433.7951599999997</v>
      </c>
      <c r="D55" s="12">
        <v>2454.1076099999996</v>
      </c>
      <c r="E55" s="12">
        <v>2474.42006</v>
      </c>
      <c r="F55" s="12">
        <v>2494.73251</v>
      </c>
      <c r="G55" s="12">
        <v>2515.0449599999997</v>
      </c>
      <c r="H55" s="12">
        <v>2535.3470199999997</v>
      </c>
      <c r="I55" s="12">
        <v>2555.65947</v>
      </c>
      <c r="J55" s="12">
        <v>2575.97192</v>
      </c>
      <c r="K55" s="12">
        <v>2596.28437</v>
      </c>
      <c r="L55" s="12">
        <v>2616.5968199999998</v>
      </c>
      <c r="M55" s="12">
        <v>2636.9092699999997</v>
      </c>
      <c r="N55" s="12">
        <v>2657.22172</v>
      </c>
      <c r="O55" s="12">
        <v>2677.53417</v>
      </c>
      <c r="P55" s="12">
        <v>2697.84662</v>
      </c>
      <c r="Q55" s="12">
        <v>2719.5617199999997</v>
      </c>
      <c r="R55" s="12">
        <v>2739.87417</v>
      </c>
      <c r="S55" s="12">
        <v>2760.18662</v>
      </c>
      <c r="T55" s="12">
        <v>2780.49907</v>
      </c>
      <c r="U55" s="12">
        <v>2821.1135799999997</v>
      </c>
      <c r="V55" s="12">
        <v>2841.4260299999996</v>
      </c>
      <c r="W55" s="12">
        <v>2882.04054</v>
      </c>
      <c r="X55" s="12">
        <v>2902.3529899999994</v>
      </c>
      <c r="Y55" s="12">
        <v>2922.6654399999998</v>
      </c>
      <c r="Z55" s="12">
        <v>2942.9674999999997</v>
      </c>
      <c r="AA55" s="12">
        <v>2963.27995</v>
      </c>
      <c r="AB55" s="12">
        <v>2983.5923999999995</v>
      </c>
      <c r="AC55" s="12">
        <v>3003.90485</v>
      </c>
      <c r="AD55" s="12">
        <v>3024.2173</v>
      </c>
      <c r="AE55" s="12">
        <v>3044.5297499999997</v>
      </c>
      <c r="AF55" s="12">
        <v>3064.8422</v>
      </c>
      <c r="AG55" s="12">
        <v>3085.1546499999995</v>
      </c>
      <c r="AH55" s="12">
        <v>3105.4671</v>
      </c>
      <c r="AI55" s="12">
        <v>3127.1925899999997</v>
      </c>
      <c r="AJ55" s="12">
        <v>3147.4946499999996</v>
      </c>
      <c r="AK55" s="12">
        <v>3167.8071</v>
      </c>
      <c r="AL55" s="12">
        <v>3188.1195499999994</v>
      </c>
      <c r="AM55" s="12">
        <v>3208.432</v>
      </c>
      <c r="AN55" s="12">
        <v>3228.74445</v>
      </c>
      <c r="AO55" s="12">
        <v>3249.0568999999996</v>
      </c>
      <c r="AP55" s="12">
        <v>3269.36935</v>
      </c>
      <c r="AQ55" s="12">
        <v>3289.6817999999994</v>
      </c>
      <c r="AR55" s="12">
        <v>3309.9942499999997</v>
      </c>
      <c r="AS55" s="12">
        <v>3330.2963099999997</v>
      </c>
      <c r="AT55" s="12">
        <v>3350.60876</v>
      </c>
      <c r="AU55" s="12">
        <v>3370.9212099999995</v>
      </c>
      <c r="AV55" s="12">
        <v>3391.23366</v>
      </c>
      <c r="AW55" s="12">
        <v>3411.5461099999993</v>
      </c>
      <c r="AX55" s="12">
        <v>3431.8585599999997</v>
      </c>
      <c r="AY55" s="12">
        <v>3452.17101</v>
      </c>
      <c r="AZ55" s="12">
        <v>3472.4834599999995</v>
      </c>
      <c r="BA55" s="12">
        <v>3494.2089499999997</v>
      </c>
      <c r="BB55" s="12">
        <v>3514.5110099999997</v>
      </c>
      <c r="BC55" s="12">
        <v>3534.8234599999996</v>
      </c>
      <c r="BD55" s="12">
        <v>3555.13591</v>
      </c>
      <c r="BE55" s="12">
        <v>3575.4483599999994</v>
      </c>
      <c r="BF55" s="12">
        <v>3595.7608099999998</v>
      </c>
      <c r="BG55" s="12">
        <v>3616.0732599999997</v>
      </c>
      <c r="BH55" s="12">
        <v>3636.3857099999996</v>
      </c>
      <c r="BI55" s="12">
        <v>3656.69816</v>
      </c>
      <c r="BJ55" s="12">
        <v>3677.0106099999994</v>
      </c>
      <c r="BK55" s="12">
        <v>3697.3230599999997</v>
      </c>
      <c r="BL55" s="12">
        <v>3717.6251199999997</v>
      </c>
      <c r="BM55" s="12">
        <v>3737.93757</v>
      </c>
      <c r="BN55" s="12">
        <v>3758.2500199999995</v>
      </c>
      <c r="BO55" s="12">
        <v>3778.56247</v>
      </c>
      <c r="BP55" s="12">
        <v>3798.8749199999997</v>
      </c>
      <c r="BQ55" s="12">
        <v>3819.1873699999996</v>
      </c>
      <c r="BR55" s="12">
        <v>3839.49982</v>
      </c>
      <c r="BS55" s="12">
        <v>3861.22531</v>
      </c>
      <c r="BT55" s="12">
        <v>3843.3856799999994</v>
      </c>
      <c r="BU55" s="12">
        <v>3863.6877399999994</v>
      </c>
      <c r="BV55" s="12">
        <v>3845.8481099999995</v>
      </c>
      <c r="BW55" s="1"/>
      <c r="BX55" s="1"/>
      <c r="BY55" s="1"/>
      <c r="BZ55" s="1"/>
      <c r="CA55" s="1"/>
      <c r="CB55" s="1"/>
      <c r="CC55" s="1"/>
      <c r="CD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row>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37" width="12.57"/>
  </cols>
  <sheetData>
    <row r="1" ht="15.75" customHeight="1">
      <c r="A1" s="1" t="s">
        <v>15</v>
      </c>
      <c r="B1" s="1" t="s">
        <v>745</v>
      </c>
      <c r="C1" s="1" t="s">
        <v>740</v>
      </c>
    </row>
    <row r="2" ht="15.75" customHeight="1">
      <c r="A2" s="1" t="str">
        <f>'(patio_costs)'!A3</f>
        <v/>
      </c>
      <c r="B2" s="1" t="str">
        <f>'(patio_costs)'!B3</f>
        <v>1500</v>
      </c>
      <c r="C2" s="1" t="str">
        <f>'(patio_costs)'!C3</f>
        <v>1600</v>
      </c>
      <c r="D2" s="1" t="str">
        <f>'(patio_costs)'!D3</f>
        <v>1700</v>
      </c>
      <c r="E2" s="1" t="str">
        <f>'(patio_costs)'!E3</f>
        <v>1800</v>
      </c>
      <c r="F2" s="1" t="str">
        <f>'(patio_costs)'!F3</f>
        <v>1900</v>
      </c>
      <c r="G2" s="1" t="str">
        <f>'(patio_costs)'!G3</f>
        <v>2000</v>
      </c>
      <c r="H2" s="1" t="str">
        <f>'(patio_costs)'!H3</f>
        <v>2100</v>
      </c>
      <c r="I2" s="1" t="str">
        <f>'(patio_costs)'!I3</f>
        <v>2200</v>
      </c>
      <c r="J2" s="1" t="str">
        <f>'(patio_costs)'!J3</f>
        <v>2300</v>
      </c>
      <c r="K2" s="1" t="str">
        <f>'(patio_costs)'!K3</f>
        <v>2400</v>
      </c>
      <c r="L2" s="1" t="str">
        <f>'(patio_costs)'!L3</f>
        <v>2500</v>
      </c>
      <c r="M2" s="1" t="str">
        <f>'(patio_costs)'!M3</f>
        <v>2600</v>
      </c>
      <c r="N2" s="1" t="str">
        <f>'(patio_costs)'!N3</f>
        <v>2700</v>
      </c>
      <c r="O2" s="1" t="str">
        <f>'(patio_costs)'!O3</f>
        <v>2800</v>
      </c>
      <c r="P2" s="1" t="str">
        <f>'(patio_costs)'!P3</f>
        <v>2900</v>
      </c>
      <c r="Q2" s="1" t="str">
        <f>'(patio_costs)'!Q3</f>
        <v>3000</v>
      </c>
      <c r="R2" s="1" t="str">
        <f>'(patio_costs)'!R3</f>
        <v>3100</v>
      </c>
      <c r="S2" s="1" t="str">
        <f>'(patio_costs)'!S3</f>
        <v>3200</v>
      </c>
      <c r="T2" s="1" t="str">
        <f>'(patio_costs)'!T3</f>
        <v>3300</v>
      </c>
      <c r="U2" s="1" t="str">
        <f>'(patio_costs)'!U3</f>
        <v>3400</v>
      </c>
      <c r="V2" s="1" t="str">
        <f>'(patio_costs)'!V3</f>
        <v>3500</v>
      </c>
      <c r="W2" s="1" t="str">
        <f>'(patio_costs)'!W3</f>
        <v>3600</v>
      </c>
      <c r="X2" s="1" t="str">
        <f>'(patio_costs)'!X3</f>
        <v>3700</v>
      </c>
      <c r="Y2" s="1" t="str">
        <f>'(patio_costs)'!Y3</f>
        <v>3800</v>
      </c>
      <c r="Z2" s="1" t="str">
        <f>'(patio_costs)'!Z3</f>
        <v>3900</v>
      </c>
      <c r="AA2" s="1" t="str">
        <f>'(patio_costs)'!AA3</f>
        <v>4000</v>
      </c>
      <c r="AB2" s="1" t="str">
        <f>'(patio_costs)'!AB3</f>
        <v>4100</v>
      </c>
      <c r="AC2" s="1" t="str">
        <f>'(patio_costs)'!AC3</f>
        <v>4200</v>
      </c>
      <c r="AD2" s="1" t="str">
        <f>'(patio_costs)'!AD3</f>
        <v>4300</v>
      </c>
      <c r="AE2" s="1" t="str">
        <f>'(patio_costs)'!AE3</f>
        <v>4400</v>
      </c>
      <c r="AF2" s="1" t="str">
        <f>'(patio_costs)'!AF3</f>
        <v>4500</v>
      </c>
      <c r="AG2" s="1" t="str">
        <f>'(patio_costs)'!AG3</f>
        <v>4600</v>
      </c>
      <c r="AH2" s="1" t="str">
        <f>'(patio_costs)'!AH3</f>
        <v>4700</v>
      </c>
      <c r="AI2" s="1" t="str">
        <f>'(patio_costs)'!AI3</f>
        <v>4800</v>
      </c>
      <c r="AJ2" s="1" t="str">
        <f>'(patio_costs)'!AJ3</f>
        <v>4900</v>
      </c>
      <c r="AK2" s="1" t="str">
        <f>'(patio_costs)'!AK3</f>
        <v>5000</v>
      </c>
    </row>
    <row r="3" ht="15.75" customHeight="1">
      <c r="A3" s="1" t="str">
        <f>'(patio_costs)'!A4</f>
        <v>2000</v>
      </c>
      <c r="B3" s="1" t="str">
        <f t="array" ref="B3:AK10">'(patio_costs)'!B4:AK11*(1+MARKUP!$Z$6)</f>
        <v>1110.755106</v>
      </c>
      <c r="C3" s="1">
        <v>1131.7164377749998</v>
      </c>
      <c r="D3" s="1">
        <v>1152.6777692499998</v>
      </c>
      <c r="E3" s="1">
        <v>1173.6391007249997</v>
      </c>
      <c r="F3" s="1">
        <v>1194.6004322</v>
      </c>
      <c r="G3" s="1">
        <v>1215.5617636749998</v>
      </c>
      <c r="H3" s="1">
        <v>1236.5230951499998</v>
      </c>
      <c r="I3" s="1">
        <v>1257.4844266249997</v>
      </c>
      <c r="J3" s="1">
        <v>1278.9774143999998</v>
      </c>
      <c r="K3" s="1">
        <v>1299.9387458749998</v>
      </c>
      <c r="L3" s="1">
        <v>1320.9000773499997</v>
      </c>
      <c r="M3" s="1">
        <v>1341.8614088249997</v>
      </c>
      <c r="N3" s="1">
        <v>1362.8227402999999</v>
      </c>
      <c r="O3" s="1">
        <v>1383.7840717749998</v>
      </c>
      <c r="P3" s="1">
        <v>1404.737584775</v>
      </c>
      <c r="Q3" s="1">
        <v>1425.6989162499997</v>
      </c>
      <c r="R3" s="1">
        <v>1446.6602477249996</v>
      </c>
      <c r="S3" s="1">
        <v>1468.1532354999997</v>
      </c>
      <c r="T3" s="1">
        <v>1489.1145669749997</v>
      </c>
      <c r="U3" s="1">
        <v>1510.0758984499998</v>
      </c>
      <c r="V3" s="1">
        <v>1546.3145300749998</v>
      </c>
      <c r="W3" s="1">
        <v>1567.2758615499995</v>
      </c>
      <c r="X3" s="1">
        <v>1588.2371930249997</v>
      </c>
      <c r="Y3" s="1">
        <v>1609.1985244999998</v>
      </c>
      <c r="Z3" s="1">
        <v>1630.1598559749998</v>
      </c>
      <c r="AA3" s="1">
        <v>1651.12118745</v>
      </c>
      <c r="AB3" s="1">
        <v>1672.6141752249998</v>
      </c>
      <c r="AC3" s="1">
        <v>1693.5755066999996</v>
      </c>
      <c r="AD3" s="1">
        <v>1714.5368381749997</v>
      </c>
      <c r="AE3" s="1">
        <v>1735.490351175</v>
      </c>
      <c r="AF3" s="1">
        <v>1756.4516826499996</v>
      </c>
      <c r="AG3" s="1">
        <v>1777.4130141249996</v>
      </c>
      <c r="AH3" s="1">
        <v>1798.3743455999997</v>
      </c>
      <c r="AI3" s="1">
        <v>1819.3356770749995</v>
      </c>
      <c r="AJ3" s="1">
        <v>1840.2970085499999</v>
      </c>
      <c r="AK3" s="1">
        <v>1861.7899963249997</v>
      </c>
    </row>
    <row r="4" ht="15.75" customHeight="1">
      <c r="A4" s="1" t="str">
        <f>'(patio_costs)'!A5</f>
        <v>2100</v>
      </c>
      <c r="B4" s="1">
        <v>1139.4098171749997</v>
      </c>
      <c r="C4" s="1">
        <v>1160.37114865</v>
      </c>
      <c r="D4" s="1">
        <v>1181.3324801249998</v>
      </c>
      <c r="E4" s="1">
        <v>1202.2938115999998</v>
      </c>
      <c r="F4" s="1">
        <v>1223.2551430749998</v>
      </c>
      <c r="G4" s="1">
        <v>1244.21647455</v>
      </c>
      <c r="H4" s="1">
        <v>1265.1778060249999</v>
      </c>
      <c r="I4" s="1">
        <v>1286.1391374999998</v>
      </c>
      <c r="J4" s="1">
        <v>1307.6321252749997</v>
      </c>
      <c r="K4" s="1">
        <v>1328.5934567499996</v>
      </c>
      <c r="L4" s="1">
        <v>1349.5547882249998</v>
      </c>
      <c r="M4" s="1">
        <v>1370.5161196999998</v>
      </c>
      <c r="N4" s="1">
        <v>1391.4696327</v>
      </c>
      <c r="O4" s="1">
        <v>1412.4309641749999</v>
      </c>
      <c r="P4" s="1">
        <v>1433.3922956499996</v>
      </c>
      <c r="Q4" s="1">
        <v>1454.353627125</v>
      </c>
      <c r="R4" s="1">
        <v>1475.3149586</v>
      </c>
      <c r="S4" s="1">
        <v>1496.8079463749998</v>
      </c>
      <c r="T4" s="1">
        <v>1533.0465779999997</v>
      </c>
      <c r="U4" s="1">
        <v>1554.0079094749997</v>
      </c>
      <c r="V4" s="1">
        <v>1574.9692409499999</v>
      </c>
      <c r="W4" s="1">
        <v>1595.9305724249998</v>
      </c>
      <c r="X4" s="1">
        <v>1616.8919038999998</v>
      </c>
      <c r="Y4" s="1">
        <v>1637.8532353749997</v>
      </c>
      <c r="Z4" s="1">
        <v>1658.8145668499994</v>
      </c>
      <c r="AA4" s="1">
        <v>1679.7758983249996</v>
      </c>
      <c r="AB4" s="1">
        <v>1701.2688861</v>
      </c>
      <c r="AC4" s="1">
        <v>1722.2223991</v>
      </c>
      <c r="AD4" s="1">
        <v>1743.1837305749998</v>
      </c>
      <c r="AE4" s="1">
        <v>1764.1450620499998</v>
      </c>
      <c r="AF4" s="1">
        <v>1785.106393525</v>
      </c>
      <c r="AG4" s="1">
        <v>1806.0677249999997</v>
      </c>
      <c r="AH4" s="1">
        <v>1827.0290564749998</v>
      </c>
      <c r="AI4" s="1">
        <v>1847.9903879499998</v>
      </c>
      <c r="AJ4" s="1">
        <v>1868.9517194249995</v>
      </c>
      <c r="AK4" s="1">
        <v>1890.4447071999998</v>
      </c>
    </row>
    <row r="5" ht="15.75" customHeight="1">
      <c r="A5" s="1" t="str">
        <f>'(patio_costs)'!A6</f>
        <v>2200</v>
      </c>
      <c r="B5" s="1">
        <v>1168.06452805</v>
      </c>
      <c r="C5" s="1">
        <v>1189.0258595249998</v>
      </c>
      <c r="D5" s="1">
        <v>1209.9871909999997</v>
      </c>
      <c r="E5" s="1">
        <v>1230.948522475</v>
      </c>
      <c r="F5" s="1">
        <v>1251.9098539499998</v>
      </c>
      <c r="G5" s="1">
        <v>1272.8711854249998</v>
      </c>
      <c r="H5" s="1">
        <v>1293.8325168999997</v>
      </c>
      <c r="I5" s="1">
        <v>1314.793848375</v>
      </c>
      <c r="J5" s="1">
        <v>1336.28683615</v>
      </c>
      <c r="K5" s="1">
        <v>1357.248167625</v>
      </c>
      <c r="L5" s="1">
        <v>1378.2016806249999</v>
      </c>
      <c r="M5" s="1">
        <v>1399.1630120999998</v>
      </c>
      <c r="N5" s="1">
        <v>1420.1243435749996</v>
      </c>
      <c r="O5" s="1">
        <v>1441.08567505</v>
      </c>
      <c r="P5" s="1">
        <v>1462.047006525</v>
      </c>
      <c r="Q5" s="1">
        <v>1483.0083379999999</v>
      </c>
      <c r="R5" s="1">
        <v>1503.9696694749996</v>
      </c>
      <c r="S5" s="1">
        <v>1540.7399573999999</v>
      </c>
      <c r="T5" s="1">
        <v>1561.701288875</v>
      </c>
      <c r="U5" s="1">
        <v>1582.6626203499998</v>
      </c>
      <c r="V5" s="1">
        <v>1603.6239518249997</v>
      </c>
      <c r="W5" s="1">
        <v>1624.5852833</v>
      </c>
      <c r="X5" s="1">
        <v>1645.5466147749996</v>
      </c>
      <c r="Y5" s="1">
        <v>1666.5079462499998</v>
      </c>
      <c r="Z5" s="1">
        <v>1687.4692777249998</v>
      </c>
      <c r="AA5" s="1">
        <v>1708.422790725</v>
      </c>
      <c r="AB5" s="1">
        <v>1729.9157784999995</v>
      </c>
      <c r="AC5" s="1">
        <v>1750.8771099749997</v>
      </c>
      <c r="AD5" s="1">
        <v>1771.8384414499997</v>
      </c>
      <c r="AE5" s="1">
        <v>1792.7997729249998</v>
      </c>
      <c r="AF5" s="1">
        <v>1813.7611043999998</v>
      </c>
      <c r="AG5" s="1">
        <v>1834.722435875</v>
      </c>
      <c r="AH5" s="1">
        <v>1855.6837673499997</v>
      </c>
      <c r="AI5" s="1">
        <v>1876.6450988249999</v>
      </c>
      <c r="AJ5" s="1">
        <v>1897.6064302999996</v>
      </c>
      <c r="AK5" s="1">
        <v>1919.0994180749997</v>
      </c>
    </row>
    <row r="6" ht="15.75" customHeight="1">
      <c r="A6" s="1" t="str">
        <f>'(patio_costs)'!A7</f>
        <v>2300</v>
      </c>
      <c r="B6" s="1">
        <v>1196.719238925</v>
      </c>
      <c r="C6" s="1">
        <v>1217.6805703999999</v>
      </c>
      <c r="D6" s="1">
        <v>1238.6419018749998</v>
      </c>
      <c r="E6" s="1">
        <v>1259.6032333499998</v>
      </c>
      <c r="F6" s="1">
        <v>1280.5645648249997</v>
      </c>
      <c r="G6" s="1">
        <v>1301.5258962999999</v>
      </c>
      <c r="H6" s="1">
        <v>1322.4872277749998</v>
      </c>
      <c r="I6" s="1">
        <v>1343.4485592499998</v>
      </c>
      <c r="J6" s="1">
        <v>1364.9337285499998</v>
      </c>
      <c r="K6" s="1">
        <v>1385.8950600249998</v>
      </c>
      <c r="L6" s="1">
        <v>1406.8563914999997</v>
      </c>
      <c r="M6" s="1">
        <v>1427.817722975</v>
      </c>
      <c r="N6" s="1">
        <v>1448.7790544499999</v>
      </c>
      <c r="O6" s="1">
        <v>1469.7403859249998</v>
      </c>
      <c r="P6" s="1">
        <v>1490.7017173999998</v>
      </c>
      <c r="Q6" s="1">
        <v>1526.9403490249997</v>
      </c>
      <c r="R6" s="1">
        <v>1547.9016804999997</v>
      </c>
      <c r="S6" s="1">
        <v>1569.394668275</v>
      </c>
      <c r="T6" s="1">
        <v>1590.3559997499997</v>
      </c>
      <c r="U6" s="1">
        <v>1611.3173312249996</v>
      </c>
      <c r="V6" s="1">
        <v>1632.2786626999994</v>
      </c>
      <c r="W6" s="1">
        <v>1653.239994175</v>
      </c>
      <c r="X6" s="1">
        <v>1674.20132565</v>
      </c>
      <c r="Y6" s="1">
        <v>1695.1548386499999</v>
      </c>
      <c r="Z6" s="1">
        <v>1716.1161701249996</v>
      </c>
      <c r="AA6" s="1">
        <v>1737.0775016</v>
      </c>
      <c r="AB6" s="1">
        <v>1758.5704893749999</v>
      </c>
      <c r="AC6" s="1">
        <v>1779.5318208499996</v>
      </c>
      <c r="AD6" s="1">
        <v>1800.4931523249998</v>
      </c>
      <c r="AE6" s="1">
        <v>1821.4544837999997</v>
      </c>
      <c r="AF6" s="1">
        <v>1842.4158152749994</v>
      </c>
      <c r="AG6" s="1">
        <v>1863.3771467499998</v>
      </c>
      <c r="AH6" s="1">
        <v>1884.3384782249998</v>
      </c>
      <c r="AI6" s="1">
        <v>1905.2998096999997</v>
      </c>
      <c r="AJ6" s="1">
        <v>1926.261141175</v>
      </c>
      <c r="AK6" s="1">
        <v>1947.7541289499993</v>
      </c>
    </row>
    <row r="7" ht="15.75" customHeight="1">
      <c r="A7" s="1" t="str">
        <f>'(patio_costs)'!A8</f>
        <v>2400</v>
      </c>
      <c r="B7" s="1">
        <v>1225.3739497999998</v>
      </c>
      <c r="C7" s="1">
        <v>1246.3352812749997</v>
      </c>
      <c r="D7" s="1">
        <v>1267.29661275</v>
      </c>
      <c r="E7" s="1">
        <v>1288.2579442249998</v>
      </c>
      <c r="F7" s="1">
        <v>1309.2192756999998</v>
      </c>
      <c r="G7" s="1">
        <v>1330.1806071749997</v>
      </c>
      <c r="H7" s="1">
        <v>1351.134120175</v>
      </c>
      <c r="I7" s="1">
        <v>1372.0954516499999</v>
      </c>
      <c r="J7" s="1">
        <v>1393.5884394249997</v>
      </c>
      <c r="K7" s="1">
        <v>1414.5497708999999</v>
      </c>
      <c r="L7" s="1">
        <v>1435.5111023749998</v>
      </c>
      <c r="M7" s="1">
        <v>1456.4724338499998</v>
      </c>
      <c r="N7" s="1">
        <v>1477.4337653249997</v>
      </c>
      <c r="O7" s="1">
        <v>1498.3950968</v>
      </c>
      <c r="P7" s="1">
        <v>1534.6337284249998</v>
      </c>
      <c r="Q7" s="1">
        <v>1555.5950598999998</v>
      </c>
      <c r="R7" s="1">
        <v>1576.556391375</v>
      </c>
      <c r="S7" s="1">
        <v>1598.0493791499998</v>
      </c>
      <c r="T7" s="1">
        <v>1619.010710625</v>
      </c>
      <c r="U7" s="1">
        <v>1639.9720420999997</v>
      </c>
      <c r="V7" s="1">
        <v>1660.9255550999999</v>
      </c>
      <c r="W7" s="1">
        <v>1681.8868865749998</v>
      </c>
      <c r="X7" s="1">
        <v>1702.8482180499996</v>
      </c>
      <c r="Y7" s="1">
        <v>1723.8095495249997</v>
      </c>
      <c r="Z7" s="1">
        <v>1744.770881</v>
      </c>
      <c r="AA7" s="1">
        <v>1765.7322124749996</v>
      </c>
      <c r="AB7" s="1">
        <v>1787.2252002499997</v>
      </c>
      <c r="AC7" s="1">
        <v>1808.186531725</v>
      </c>
      <c r="AD7" s="1">
        <v>1829.1478631999996</v>
      </c>
      <c r="AE7" s="1">
        <v>1850.1091946749998</v>
      </c>
      <c r="AF7" s="1">
        <v>1871.0705261499995</v>
      </c>
      <c r="AG7" s="1">
        <v>1892.0318576249995</v>
      </c>
      <c r="AH7" s="1">
        <v>1912.9931891</v>
      </c>
      <c r="AI7" s="1">
        <v>1933.9545205749998</v>
      </c>
      <c r="AJ7" s="1">
        <v>1954.9158520499998</v>
      </c>
      <c r="AK7" s="1">
        <v>1976.4010213499998</v>
      </c>
    </row>
    <row r="8" ht="15.75" customHeight="1">
      <c r="A8" s="1" t="str">
        <f>'(patio_costs)'!A9</f>
        <v>2500</v>
      </c>
      <c r="B8" s="1">
        <v>1254.0286606749999</v>
      </c>
      <c r="C8" s="1">
        <v>1274.9899921499998</v>
      </c>
      <c r="D8" s="1">
        <v>1295.9513236249998</v>
      </c>
      <c r="E8" s="1">
        <v>1316.9048366249997</v>
      </c>
      <c r="F8" s="1">
        <v>1337.8661680999999</v>
      </c>
      <c r="G8" s="1">
        <v>1358.8274995749998</v>
      </c>
      <c r="H8" s="1">
        <v>1379.7888310499998</v>
      </c>
      <c r="I8" s="1">
        <v>1400.7501625249997</v>
      </c>
      <c r="J8" s="1">
        <v>1422.2431502999998</v>
      </c>
      <c r="K8" s="1">
        <v>1443.2044817749997</v>
      </c>
      <c r="L8" s="1">
        <v>1464.1658132499997</v>
      </c>
      <c r="M8" s="1">
        <v>1485.1271447249999</v>
      </c>
      <c r="N8" s="1">
        <v>1506.0884761999998</v>
      </c>
      <c r="O8" s="1">
        <v>1542.3271078249998</v>
      </c>
      <c r="P8" s="1">
        <v>1563.2884392999997</v>
      </c>
      <c r="Q8" s="1">
        <v>1584.249770775</v>
      </c>
      <c r="R8" s="1">
        <v>1605.2111022499996</v>
      </c>
      <c r="S8" s="1">
        <v>1626.704090025</v>
      </c>
      <c r="T8" s="1">
        <v>1647.6654214999999</v>
      </c>
      <c r="U8" s="1">
        <v>1668.6189344999998</v>
      </c>
      <c r="V8" s="1">
        <v>1689.5802659749997</v>
      </c>
      <c r="W8" s="1">
        <v>1710.54159745</v>
      </c>
      <c r="X8" s="1">
        <v>1731.502928925</v>
      </c>
      <c r="Y8" s="1">
        <v>1752.4642603999998</v>
      </c>
      <c r="Z8" s="1">
        <v>1773.4255918749998</v>
      </c>
      <c r="AA8" s="1">
        <v>1794.3869233499995</v>
      </c>
      <c r="AB8" s="1">
        <v>1815.8799111249998</v>
      </c>
      <c r="AC8" s="1">
        <v>1836.8412426</v>
      </c>
      <c r="AD8" s="1">
        <v>1857.8025740749997</v>
      </c>
      <c r="AE8" s="1">
        <v>1878.7639055499997</v>
      </c>
      <c r="AF8" s="1">
        <v>1899.7252370249998</v>
      </c>
      <c r="AG8" s="1">
        <v>1920.6865684999996</v>
      </c>
      <c r="AH8" s="1">
        <v>1941.6478999749997</v>
      </c>
      <c r="AI8" s="1">
        <v>1962.6092314499995</v>
      </c>
      <c r="AJ8" s="1">
        <v>1983.5627444499996</v>
      </c>
      <c r="AK8" s="1">
        <v>2005.0557322249997</v>
      </c>
    </row>
    <row r="9" ht="15.75" customHeight="1">
      <c r="A9" s="1" t="str">
        <f>'(patio_costs)'!A10</f>
        <v>2600</v>
      </c>
      <c r="B9" s="1">
        <v>1282.6833715499997</v>
      </c>
      <c r="C9" s="1">
        <v>1303.644703025</v>
      </c>
      <c r="D9" s="1">
        <v>1324.5982160249998</v>
      </c>
      <c r="E9" s="1">
        <v>1345.5595474999998</v>
      </c>
      <c r="F9" s="1">
        <v>1366.5208789749997</v>
      </c>
      <c r="G9" s="1">
        <v>1387.4822104499997</v>
      </c>
      <c r="H9" s="1">
        <v>1408.4435419249999</v>
      </c>
      <c r="I9" s="1">
        <v>1429.4048733999998</v>
      </c>
      <c r="J9" s="1">
        <v>1450.8978611749997</v>
      </c>
      <c r="K9" s="1">
        <v>1471.8591926499998</v>
      </c>
      <c r="L9" s="1">
        <v>1492.8205241249998</v>
      </c>
      <c r="M9" s="1">
        <v>1513.7818555999997</v>
      </c>
      <c r="N9" s="1">
        <v>1550.020487225</v>
      </c>
      <c r="O9" s="1">
        <v>1570.9818186999996</v>
      </c>
      <c r="P9" s="1">
        <v>1591.9431501749998</v>
      </c>
      <c r="Q9" s="1">
        <v>1612.9044816499998</v>
      </c>
      <c r="R9" s="1">
        <v>1633.8579946499997</v>
      </c>
      <c r="S9" s="1">
        <v>1655.3509824249998</v>
      </c>
      <c r="T9" s="1">
        <v>1676.3123138999997</v>
      </c>
      <c r="U9" s="1">
        <v>1697.2736453749997</v>
      </c>
      <c r="V9" s="1">
        <v>1718.2349768499998</v>
      </c>
      <c r="W9" s="1">
        <v>1739.1963083249996</v>
      </c>
      <c r="X9" s="1">
        <v>1760.1576398</v>
      </c>
      <c r="Y9" s="1">
        <v>1781.1189712749997</v>
      </c>
      <c r="Z9" s="1">
        <v>1802.0803027499999</v>
      </c>
      <c r="AA9" s="1">
        <v>1823.0416342249998</v>
      </c>
      <c r="AB9" s="1">
        <v>1844.5346219999994</v>
      </c>
      <c r="AC9" s="1">
        <v>1865.4959534749999</v>
      </c>
      <c r="AD9" s="1">
        <v>1886.45728495</v>
      </c>
      <c r="AE9" s="1">
        <v>1907.4186164249998</v>
      </c>
      <c r="AF9" s="1">
        <v>1928.3799478999997</v>
      </c>
      <c r="AG9" s="1">
        <v>1949.3412793749999</v>
      </c>
      <c r="AH9" s="1">
        <v>1970.2947923749996</v>
      </c>
      <c r="AI9" s="1">
        <v>1991.2561238499998</v>
      </c>
      <c r="AJ9" s="1">
        <v>2012.217455325</v>
      </c>
      <c r="AK9" s="1">
        <v>2033.7104430999998</v>
      </c>
    </row>
    <row r="10" ht="15.75" customHeight="1">
      <c r="A10" s="1" t="str">
        <f>'(patio_costs)'!A11</f>
        <v>2700</v>
      </c>
      <c r="B10" s="1">
        <v>1311.3302639499998</v>
      </c>
      <c r="C10" s="1">
        <v>1332.2915954249997</v>
      </c>
      <c r="D10" s="1">
        <v>1353.2529268999997</v>
      </c>
      <c r="E10" s="1">
        <v>1374.2142583749999</v>
      </c>
      <c r="F10" s="1">
        <v>1395.1755898499998</v>
      </c>
      <c r="G10" s="1">
        <v>1416.1369213249998</v>
      </c>
      <c r="H10" s="1">
        <v>1437.0982527999997</v>
      </c>
      <c r="I10" s="1">
        <v>1458.059584275</v>
      </c>
      <c r="J10" s="1">
        <v>1479.55257205</v>
      </c>
      <c r="K10" s="1">
        <v>1500.5139035249997</v>
      </c>
      <c r="L10" s="1">
        <v>1521.4752349999997</v>
      </c>
      <c r="M10" s="1">
        <v>1557.7138666249998</v>
      </c>
      <c r="N10" s="1">
        <v>1578.6751981</v>
      </c>
      <c r="O10" s="1">
        <v>1599.6365295749997</v>
      </c>
      <c r="P10" s="1">
        <v>1620.5900425749999</v>
      </c>
      <c r="Q10" s="1">
        <v>1641.5513740499996</v>
      </c>
      <c r="R10" s="1">
        <v>1662.5127055249995</v>
      </c>
      <c r="S10" s="1">
        <v>1684.0056932999998</v>
      </c>
      <c r="T10" s="1">
        <v>1704.967024775</v>
      </c>
      <c r="U10" s="1">
        <v>1725.9283562499998</v>
      </c>
      <c r="V10" s="1">
        <v>1746.8896877249997</v>
      </c>
      <c r="W10" s="1">
        <v>1767.8510191999994</v>
      </c>
      <c r="X10" s="1">
        <v>1788.8123506749996</v>
      </c>
      <c r="Y10" s="1">
        <v>1809.7736821499998</v>
      </c>
      <c r="Z10" s="1">
        <v>1830.7350136249997</v>
      </c>
      <c r="AA10" s="1">
        <v>1851.6963451</v>
      </c>
      <c r="AB10" s="1">
        <v>1873.1893328749998</v>
      </c>
      <c r="AC10" s="1">
        <v>1894.1506643499995</v>
      </c>
      <c r="AD10" s="1">
        <v>1915.1119958249997</v>
      </c>
      <c r="AE10" s="1">
        <v>1936.0655088249998</v>
      </c>
      <c r="AF10" s="1">
        <v>1957.0268402999995</v>
      </c>
      <c r="AG10" s="1">
        <v>1977.9881717749995</v>
      </c>
      <c r="AH10" s="1">
        <v>1998.9495032499997</v>
      </c>
      <c r="AI10" s="1">
        <v>2019.9108347249999</v>
      </c>
      <c r="AJ10" s="1">
        <v>2040.8721661999998</v>
      </c>
      <c r="AK10" s="1">
        <v>2062.365153975</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55" width="12.57"/>
  </cols>
  <sheetData>
    <row r="1" ht="15.75" customHeight="1">
      <c r="A1" s="1" t="s">
        <v>15</v>
      </c>
      <c r="B1" s="1" t="s">
        <v>745</v>
      </c>
      <c r="C1" s="1" t="s">
        <v>741</v>
      </c>
    </row>
    <row r="2" ht="15.75" customHeight="1">
      <c r="A2" s="1" t="str">
        <f>'(patio_costs)'!A14</f>
        <v/>
      </c>
      <c r="B2" s="1" t="str">
        <f>'(patio_costs)'!B14</f>
        <v>2250</v>
      </c>
      <c r="C2" s="1" t="str">
        <f>'(patio_costs)'!C14</f>
        <v>2350</v>
      </c>
      <c r="D2" s="1" t="str">
        <f>'(patio_costs)'!D14</f>
        <v>2450</v>
      </c>
      <c r="E2" s="1" t="str">
        <f>'(patio_costs)'!E14</f>
        <v>2550</v>
      </c>
      <c r="F2" s="1" t="str">
        <f>'(patio_costs)'!F14</f>
        <v>2650</v>
      </c>
      <c r="G2" s="1" t="str">
        <f>'(patio_costs)'!G14</f>
        <v>2750</v>
      </c>
      <c r="H2" s="1" t="str">
        <f>'(patio_costs)'!H14</f>
        <v>2850</v>
      </c>
      <c r="I2" s="1" t="str">
        <f>'(patio_costs)'!I14</f>
        <v>2950</v>
      </c>
      <c r="J2" s="1" t="str">
        <f>'(patio_costs)'!J14</f>
        <v>3050</v>
      </c>
      <c r="K2" s="1" t="str">
        <f>'(patio_costs)'!K14</f>
        <v>3150</v>
      </c>
      <c r="L2" s="1" t="str">
        <f>'(patio_costs)'!L14</f>
        <v>3250</v>
      </c>
      <c r="M2" s="1" t="str">
        <f>'(patio_costs)'!M14</f>
        <v>3350</v>
      </c>
      <c r="N2" s="1" t="str">
        <f>'(patio_costs)'!N14</f>
        <v>3450</v>
      </c>
      <c r="O2" s="1" t="str">
        <f>'(patio_costs)'!O14</f>
        <v>3550</v>
      </c>
      <c r="P2" s="1" t="str">
        <f>'(patio_costs)'!P14</f>
        <v>3650</v>
      </c>
      <c r="Q2" s="1" t="str">
        <f>'(patio_costs)'!Q14</f>
        <v>3750</v>
      </c>
      <c r="R2" s="1" t="str">
        <f>'(patio_costs)'!R14</f>
        <v>3850</v>
      </c>
      <c r="S2" s="1" t="str">
        <f>'(patio_costs)'!S14</f>
        <v>3950</v>
      </c>
      <c r="T2" s="1" t="str">
        <f>'(patio_costs)'!T14</f>
        <v>4050</v>
      </c>
      <c r="U2" s="1" t="str">
        <f>'(patio_costs)'!U14</f>
        <v>4150</v>
      </c>
      <c r="V2" s="1" t="str">
        <f>'(patio_costs)'!V14</f>
        <v>4250</v>
      </c>
      <c r="W2" s="1" t="str">
        <f>'(patio_costs)'!W14</f>
        <v>4350</v>
      </c>
      <c r="X2" s="1" t="str">
        <f>'(patio_costs)'!X14</f>
        <v>4450</v>
      </c>
      <c r="Y2" s="1" t="str">
        <f>'(patio_costs)'!Y14</f>
        <v>4550</v>
      </c>
      <c r="Z2" s="1" t="str">
        <f>'(patio_costs)'!Z14</f>
        <v>4650</v>
      </c>
      <c r="AA2" s="1" t="str">
        <f>'(patio_costs)'!AA14</f>
        <v>4750</v>
      </c>
      <c r="AB2" s="1" t="str">
        <f>'(patio_costs)'!AB14</f>
        <v>4850</v>
      </c>
      <c r="AC2" s="1" t="str">
        <f>'(patio_costs)'!AC14</f>
        <v>4950</v>
      </c>
      <c r="AD2" s="1" t="str">
        <f>'(patio_costs)'!AD14</f>
        <v>5050</v>
      </c>
      <c r="AE2" s="1" t="str">
        <f>'(patio_costs)'!AE14</f>
        <v>5150</v>
      </c>
      <c r="AF2" s="1" t="str">
        <f>'(patio_costs)'!AF14</f>
        <v>5250</v>
      </c>
      <c r="AG2" s="1" t="str">
        <f>'(patio_costs)'!AG14</f>
        <v>5350</v>
      </c>
      <c r="AH2" s="1" t="str">
        <f>'(patio_costs)'!AH14</f>
        <v>5450</v>
      </c>
      <c r="AI2" s="1" t="str">
        <f>'(patio_costs)'!AI14</f>
        <v>5550</v>
      </c>
      <c r="AJ2" s="1" t="str">
        <f>'(patio_costs)'!AJ14</f>
        <v>5650</v>
      </c>
      <c r="AK2" s="1" t="str">
        <f>'(patio_costs)'!AK14</f>
        <v>5750</v>
      </c>
      <c r="AL2" s="1" t="str">
        <f>'(patio_costs)'!AL14</f>
        <v>5850</v>
      </c>
      <c r="AM2" s="1" t="str">
        <f>'(patio_costs)'!AM14</f>
        <v>5950</v>
      </c>
      <c r="AN2" s="1" t="str">
        <f>'(patio_costs)'!AN14</f>
        <v>6050</v>
      </c>
      <c r="AO2" s="1" t="str">
        <f>'(patio_costs)'!AO14</f>
        <v>6150</v>
      </c>
      <c r="AP2" s="1" t="str">
        <f>'(patio_costs)'!AP14</f>
        <v>6250</v>
      </c>
      <c r="AQ2" s="1" t="str">
        <f>'(patio_costs)'!AQ14</f>
        <v>6350</v>
      </c>
      <c r="AR2" s="1" t="str">
        <f>'(patio_costs)'!AR14</f>
        <v>6450</v>
      </c>
      <c r="AS2" s="1" t="str">
        <f>'(patio_costs)'!AS14</f>
        <v>6550</v>
      </c>
      <c r="AT2" s="1" t="str">
        <f>'(patio_costs)'!AT14</f>
        <v>6650</v>
      </c>
      <c r="AU2" s="1" t="str">
        <f>'(patio_costs)'!AU14</f>
        <v>6750</v>
      </c>
      <c r="AV2" s="1" t="str">
        <f>'(patio_costs)'!AV14</f>
        <v>6850</v>
      </c>
      <c r="AW2" s="1" t="str">
        <f>'(patio_costs)'!AW14</f>
        <v>6950</v>
      </c>
      <c r="AX2" s="1" t="str">
        <f>'(patio_costs)'!AX14</f>
        <v>7050</v>
      </c>
      <c r="AY2" s="1" t="str">
        <f>'(patio_costs)'!AY14</f>
        <v>7150</v>
      </c>
      <c r="AZ2" s="1" t="str">
        <f>'(patio_costs)'!AZ14</f>
        <v>7250</v>
      </c>
      <c r="BA2" s="1" t="str">
        <f>'(patio_costs)'!BA14</f>
        <v>7350</v>
      </c>
      <c r="BB2" s="1" t="str">
        <f>'(patio_costs)'!BB14</f>
        <v>7450</v>
      </c>
      <c r="BC2" s="1" t="str">
        <f>'(patio_costs)'!BC14</f>
        <v>7500</v>
      </c>
    </row>
    <row r="3" ht="15.75" customHeight="1">
      <c r="A3" s="1" t="str">
        <f>'(patio_costs)'!A15</f>
        <v>2000</v>
      </c>
      <c r="B3" s="1" t="str">
        <f t="array" ref="B3:BC10">'(patio_costs)'!B15:BC22*(1+MARKUP!$Z$6)</f>
        <v>1648.13453</v>
      </c>
      <c r="C3" s="1">
        <v>1673.54457375</v>
      </c>
      <c r="D3" s="1">
        <v>1698.9546174999998</v>
      </c>
      <c r="E3" s="1">
        <v>1724.3646612499997</v>
      </c>
      <c r="F3" s="1">
        <v>1749.7747049999996</v>
      </c>
      <c r="G3" s="1">
        <v>1775.1847487499997</v>
      </c>
      <c r="H3" s="1">
        <v>1800.5947924999998</v>
      </c>
      <c r="I3" s="1">
        <v>1826.00483625</v>
      </c>
      <c r="J3" s="1">
        <v>1851.4070615249996</v>
      </c>
      <c r="K3" s="1">
        <v>1876.8171052749994</v>
      </c>
      <c r="L3" s="1">
        <v>1903.0246334749997</v>
      </c>
      <c r="M3" s="1">
        <v>1928.434677225</v>
      </c>
      <c r="N3" s="1">
        <v>1953.844720975</v>
      </c>
      <c r="O3" s="1">
        <v>1979.2547647249999</v>
      </c>
      <c r="P3" s="1">
        <v>2004.664808475</v>
      </c>
      <c r="Q3" s="1">
        <v>2030.0670337499998</v>
      </c>
      <c r="R3" s="1">
        <v>2055.4770774999997</v>
      </c>
      <c r="S3" s="1">
        <v>2080.88712125</v>
      </c>
      <c r="T3" s="1">
        <v>2106.2971649999995</v>
      </c>
      <c r="U3" s="1">
        <v>2131.7072087499996</v>
      </c>
      <c r="V3" s="1">
        <v>2157.1172524999997</v>
      </c>
      <c r="W3" s="1">
        <v>2182.5272962499994</v>
      </c>
      <c r="X3" s="1">
        <v>2207.9295215249995</v>
      </c>
      <c r="Y3" s="1">
        <v>2233.3395652749996</v>
      </c>
      <c r="Z3" s="1">
        <v>2259.5470934749997</v>
      </c>
      <c r="AA3" s="1">
        <v>2284.9571372249998</v>
      </c>
      <c r="AB3" s="1">
        <v>2310.367180975</v>
      </c>
      <c r="AC3" s="1">
        <v>2335.777224725</v>
      </c>
      <c r="AD3" s="1">
        <v>2361.187268475</v>
      </c>
      <c r="AE3" s="1">
        <v>2417.1519125249997</v>
      </c>
      <c r="AF3" s="1">
        <v>2442.5541377999994</v>
      </c>
      <c r="AG3" s="1">
        <v>2467.9641815499995</v>
      </c>
      <c r="AH3" s="1">
        <v>2493.3742252999996</v>
      </c>
      <c r="AI3" s="1">
        <v>2518.7842690499997</v>
      </c>
      <c r="AJ3" s="1">
        <v>2544.1943128</v>
      </c>
      <c r="AK3" s="1">
        <v>2569.6043565499995</v>
      </c>
      <c r="AL3" s="1">
        <v>2595.0144002999996</v>
      </c>
      <c r="AM3" s="1">
        <v>2621.214110025</v>
      </c>
      <c r="AN3" s="1">
        <v>2646.6241537749997</v>
      </c>
      <c r="AO3" s="1">
        <v>2672.034197525</v>
      </c>
      <c r="AP3" s="1">
        <v>2697.4442412749995</v>
      </c>
      <c r="AQ3" s="1">
        <v>2722.8542850249996</v>
      </c>
      <c r="AR3" s="1">
        <v>2748.2643287749997</v>
      </c>
      <c r="AS3" s="1">
        <v>2773.6743725249994</v>
      </c>
      <c r="AT3" s="1">
        <v>2799.0765977999995</v>
      </c>
      <c r="AU3" s="1">
        <v>2824.4866415499996</v>
      </c>
      <c r="AV3" s="1">
        <v>2849.8966852999993</v>
      </c>
      <c r="AW3" s="1">
        <v>2875.3067290499994</v>
      </c>
      <c r="AX3" s="1">
        <v>2900.7167727999995</v>
      </c>
      <c r="AY3" s="1">
        <v>2926.1268165499996</v>
      </c>
      <c r="AZ3" s="1">
        <v>2951.5368602999997</v>
      </c>
      <c r="BA3" s="1">
        <v>2977.7443884999993</v>
      </c>
      <c r="BB3" s="1">
        <v>3003.1466137749994</v>
      </c>
      <c r="BC3" s="1">
        <v>3015.8516356499995</v>
      </c>
    </row>
    <row r="4" ht="15.75" customHeight="1">
      <c r="A4" s="1" t="str">
        <f>'(patio_costs)'!A16</f>
        <v>2100</v>
      </c>
      <c r="B4" s="1">
        <v>1688.2276697999998</v>
      </c>
      <c r="C4" s="1">
        <v>1713.6377135499997</v>
      </c>
      <c r="D4" s="1">
        <v>1739.0477573</v>
      </c>
      <c r="E4" s="1">
        <v>1764.45780105</v>
      </c>
      <c r="F4" s="1">
        <v>1789.8678448</v>
      </c>
      <c r="G4" s="1">
        <v>1815.27788855</v>
      </c>
      <c r="H4" s="1">
        <v>1840.6801138249996</v>
      </c>
      <c r="I4" s="1">
        <v>1866.090157575</v>
      </c>
      <c r="J4" s="1">
        <v>1891.5002013249998</v>
      </c>
      <c r="K4" s="1">
        <v>1916.9102450749997</v>
      </c>
      <c r="L4" s="1">
        <v>1943.1177732749998</v>
      </c>
      <c r="M4" s="1">
        <v>1968.5278170249996</v>
      </c>
      <c r="N4" s="1">
        <v>1993.9378607749995</v>
      </c>
      <c r="O4" s="1">
        <v>2019.3400860499999</v>
      </c>
      <c r="P4" s="1">
        <v>2044.7501298</v>
      </c>
      <c r="Q4" s="1">
        <v>2070.16017355</v>
      </c>
      <c r="R4" s="1">
        <v>2095.5702173</v>
      </c>
      <c r="S4" s="1">
        <v>2120.9802610499996</v>
      </c>
      <c r="T4" s="1">
        <v>2146.3903048</v>
      </c>
      <c r="U4" s="1">
        <v>2171.80034855</v>
      </c>
      <c r="V4" s="1">
        <v>2197.2025738249995</v>
      </c>
      <c r="W4" s="1">
        <v>2222.6126175749996</v>
      </c>
      <c r="X4" s="1">
        <v>2248.0226613249997</v>
      </c>
      <c r="Y4" s="1">
        <v>2273.432705075</v>
      </c>
      <c r="Z4" s="1">
        <v>2299.640233275</v>
      </c>
      <c r="AA4" s="1">
        <v>2325.0502770249996</v>
      </c>
      <c r="AB4" s="1">
        <v>2365.7376209249996</v>
      </c>
      <c r="AC4" s="1">
        <v>2406.4171463499997</v>
      </c>
      <c r="AD4" s="1">
        <v>2431.8271901</v>
      </c>
      <c r="AE4" s="1">
        <v>2457.23723385</v>
      </c>
      <c r="AF4" s="1">
        <v>2482.6472775999996</v>
      </c>
      <c r="AG4" s="1">
        <v>2508.0573213499997</v>
      </c>
      <c r="AH4" s="1">
        <v>2533.4673651</v>
      </c>
      <c r="AI4" s="1">
        <v>2558.8774088499995</v>
      </c>
      <c r="AJ4" s="1">
        <v>2584.2874525999996</v>
      </c>
      <c r="AK4" s="1">
        <v>2609.6896778749997</v>
      </c>
      <c r="AL4" s="1">
        <v>2635.0997216249993</v>
      </c>
      <c r="AM4" s="1">
        <v>2661.3072498249994</v>
      </c>
      <c r="AN4" s="1">
        <v>2686.7172935749995</v>
      </c>
      <c r="AO4" s="1">
        <v>2712.127337324999</v>
      </c>
      <c r="AP4" s="1">
        <v>2737.5373810749998</v>
      </c>
      <c r="AQ4" s="1">
        <v>2762.9474248249994</v>
      </c>
      <c r="AR4" s="1">
        <v>2788.3496500999995</v>
      </c>
      <c r="AS4" s="1">
        <v>2813.7596938499996</v>
      </c>
      <c r="AT4" s="1">
        <v>2839.1697375999997</v>
      </c>
      <c r="AU4" s="1">
        <v>2864.57978135</v>
      </c>
      <c r="AV4" s="1">
        <v>2889.9898251</v>
      </c>
      <c r="AW4" s="1">
        <v>2915.3998688499996</v>
      </c>
      <c r="AX4" s="1">
        <v>2940.8099125999997</v>
      </c>
      <c r="AY4" s="1">
        <v>2966.212137875</v>
      </c>
      <c r="AZ4" s="1">
        <v>2991.6221816249995</v>
      </c>
      <c r="BA4" s="1">
        <v>3017.8297098249996</v>
      </c>
      <c r="BB4" s="1">
        <v>3043.2397535749997</v>
      </c>
      <c r="BC4" s="1">
        <v>3055.9447754499993</v>
      </c>
    </row>
    <row r="5" ht="15.75" customHeight="1">
      <c r="A5" s="1" t="str">
        <f>'(patio_costs)'!A17</f>
        <v>2200</v>
      </c>
      <c r="B5" s="1">
        <v>1728.3208095999998</v>
      </c>
      <c r="C5" s="1">
        <v>1753.7308533499997</v>
      </c>
      <c r="D5" s="1">
        <v>1779.1408970999996</v>
      </c>
      <c r="E5" s="1">
        <v>1804.543122375</v>
      </c>
      <c r="F5" s="1">
        <v>1829.953166125</v>
      </c>
      <c r="G5" s="1">
        <v>1855.363209875</v>
      </c>
      <c r="H5" s="1">
        <v>1880.7732536249998</v>
      </c>
      <c r="I5" s="1">
        <v>1906.1832973749997</v>
      </c>
      <c r="J5" s="1">
        <v>1931.5933411249998</v>
      </c>
      <c r="K5" s="1">
        <v>1957.003384875</v>
      </c>
      <c r="L5" s="1">
        <v>1983.2030945999998</v>
      </c>
      <c r="M5" s="1">
        <v>2008.6131383499996</v>
      </c>
      <c r="N5" s="1">
        <v>2034.0231820999995</v>
      </c>
      <c r="O5" s="1">
        <v>2059.4332258499994</v>
      </c>
      <c r="P5" s="1">
        <v>2084.8432695999995</v>
      </c>
      <c r="Q5" s="1">
        <v>2110.2533133499996</v>
      </c>
      <c r="R5" s="1">
        <v>2135.6633570999998</v>
      </c>
      <c r="S5" s="1">
        <v>2161.065582375</v>
      </c>
      <c r="T5" s="1">
        <v>2186.4756261249995</v>
      </c>
      <c r="U5" s="1">
        <v>2211.885669875</v>
      </c>
      <c r="V5" s="1">
        <v>2237.2957136249997</v>
      </c>
      <c r="W5" s="1">
        <v>2262.705757375</v>
      </c>
      <c r="X5" s="1">
        <v>2288.115801125</v>
      </c>
      <c r="Y5" s="1">
        <v>2313.5258448749996</v>
      </c>
      <c r="Z5" s="1">
        <v>2370.2879733749996</v>
      </c>
      <c r="AA5" s="1">
        <v>2395.6901986499997</v>
      </c>
      <c r="AB5" s="1">
        <v>2421.1002424</v>
      </c>
      <c r="AC5" s="1">
        <v>2446.5102861499995</v>
      </c>
      <c r="AD5" s="1">
        <v>2471.9203298999996</v>
      </c>
      <c r="AE5" s="1">
        <v>2497.3303736499993</v>
      </c>
      <c r="AF5" s="1">
        <v>2522.7404173999994</v>
      </c>
      <c r="AG5" s="1">
        <v>2548.1504611499995</v>
      </c>
      <c r="AH5" s="1">
        <v>2573.5605048999996</v>
      </c>
      <c r="AI5" s="1">
        <v>2598.9627301749997</v>
      </c>
      <c r="AJ5" s="1">
        <v>2624.372773925</v>
      </c>
      <c r="AK5" s="1">
        <v>2649.7828176749995</v>
      </c>
      <c r="AL5" s="1">
        <v>2675.192861425</v>
      </c>
      <c r="AM5" s="1">
        <v>2701.4003896249997</v>
      </c>
      <c r="AN5" s="1">
        <v>2726.810433375</v>
      </c>
      <c r="AO5" s="1">
        <v>2752.220477125</v>
      </c>
      <c r="AP5" s="1">
        <v>2777.6227023999995</v>
      </c>
      <c r="AQ5" s="1">
        <v>2803.0327461499996</v>
      </c>
      <c r="AR5" s="1">
        <v>2828.4427898999998</v>
      </c>
      <c r="AS5" s="1">
        <v>2853.8528336499994</v>
      </c>
      <c r="AT5" s="1">
        <v>2879.2628773999995</v>
      </c>
      <c r="AU5" s="1">
        <v>2904.6729211499996</v>
      </c>
      <c r="AV5" s="1">
        <v>2930.0829648999993</v>
      </c>
      <c r="AW5" s="1">
        <v>2955.485190175</v>
      </c>
      <c r="AX5" s="1">
        <v>2980.8952339249995</v>
      </c>
      <c r="AY5" s="1">
        <v>3006.3052776749996</v>
      </c>
      <c r="AZ5" s="1">
        <v>3031.7153214249997</v>
      </c>
      <c r="BA5" s="1">
        <v>3057.9228496249993</v>
      </c>
      <c r="BB5" s="1">
        <v>3083.3328933749995</v>
      </c>
      <c r="BC5" s="1">
        <v>3096.0379152499995</v>
      </c>
    </row>
    <row r="6" ht="15.75" customHeight="1">
      <c r="A6" s="1" t="str">
        <f>'(patio_costs)'!A18</f>
        <v>2300</v>
      </c>
      <c r="B6" s="1">
        <v>1768.4139493999996</v>
      </c>
      <c r="C6" s="1">
        <v>1793.8161746749997</v>
      </c>
      <c r="D6" s="1">
        <v>1819.2262184249996</v>
      </c>
      <c r="E6" s="1">
        <v>1844.6362621749997</v>
      </c>
      <c r="F6" s="1">
        <v>1870.0463059249996</v>
      </c>
      <c r="G6" s="1">
        <v>1895.4563496749995</v>
      </c>
      <c r="H6" s="1">
        <v>1920.8663934249998</v>
      </c>
      <c r="I6" s="1">
        <v>1946.2764371749997</v>
      </c>
      <c r="J6" s="1">
        <v>1971.6786624499998</v>
      </c>
      <c r="K6" s="1">
        <v>1997.0887061999997</v>
      </c>
      <c r="L6" s="1">
        <v>2023.2962343999998</v>
      </c>
      <c r="M6" s="1">
        <v>2048.70627815</v>
      </c>
      <c r="N6" s="1">
        <v>2074.1163219</v>
      </c>
      <c r="O6" s="1">
        <v>2099.5263656499997</v>
      </c>
      <c r="P6" s="1">
        <v>2124.9364094</v>
      </c>
      <c r="Q6" s="1">
        <v>2150.3386346749994</v>
      </c>
      <c r="R6" s="1">
        <v>2175.7486784249995</v>
      </c>
      <c r="S6" s="1">
        <v>2201.1587221749996</v>
      </c>
      <c r="T6" s="1">
        <v>2226.5687659249998</v>
      </c>
      <c r="U6" s="1">
        <v>2251.9788096749994</v>
      </c>
      <c r="V6" s="1">
        <v>2277.3888534249995</v>
      </c>
      <c r="W6" s="1">
        <v>2302.7988971749996</v>
      </c>
      <c r="X6" s="1">
        <v>2358.7557227499997</v>
      </c>
      <c r="Y6" s="1">
        <v>2384.1657665</v>
      </c>
      <c r="Z6" s="1">
        <v>2410.3732947</v>
      </c>
      <c r="AA6" s="1">
        <v>2435.7833384499995</v>
      </c>
      <c r="AB6" s="1">
        <v>2461.1933821999996</v>
      </c>
      <c r="AC6" s="1">
        <v>2486.6034259499997</v>
      </c>
      <c r="AD6" s="1">
        <v>2512.0134697</v>
      </c>
      <c r="AE6" s="1">
        <v>2537.42351345</v>
      </c>
      <c r="AF6" s="1">
        <v>2562.8257387249996</v>
      </c>
      <c r="AG6" s="1">
        <v>2588.2357824749993</v>
      </c>
      <c r="AH6" s="1">
        <v>2613.645826225</v>
      </c>
      <c r="AI6" s="1">
        <v>2639.0558699749995</v>
      </c>
      <c r="AJ6" s="1">
        <v>2664.4659137249996</v>
      </c>
      <c r="AK6" s="1">
        <v>2689.8759574749997</v>
      </c>
      <c r="AL6" s="1">
        <v>2715.2860012249994</v>
      </c>
      <c r="AM6" s="1">
        <v>2741.48571095</v>
      </c>
      <c r="AN6" s="1">
        <v>2766.8957546999995</v>
      </c>
      <c r="AO6" s="1">
        <v>2792.3057984499997</v>
      </c>
      <c r="AP6" s="1">
        <v>2817.7158421999998</v>
      </c>
      <c r="AQ6" s="1">
        <v>2843.1258859499994</v>
      </c>
      <c r="AR6" s="1">
        <v>2868.5359296999995</v>
      </c>
      <c r="AS6" s="1">
        <v>2893.9459734499997</v>
      </c>
      <c r="AT6" s="1">
        <v>2919.3481987249993</v>
      </c>
      <c r="AU6" s="1">
        <v>2944.7582424749994</v>
      </c>
      <c r="AV6" s="1">
        <v>2970.1682862249995</v>
      </c>
      <c r="AW6" s="1">
        <v>2995.578329974999</v>
      </c>
      <c r="AX6" s="1">
        <v>3020.9883737249997</v>
      </c>
      <c r="AY6" s="1">
        <v>3046.3984174749994</v>
      </c>
      <c r="AZ6" s="1">
        <v>3071.8084612249995</v>
      </c>
      <c r="BA6" s="1">
        <v>3098.0159894249996</v>
      </c>
      <c r="BB6" s="1">
        <v>3123.4182146999997</v>
      </c>
      <c r="BC6" s="1">
        <v>3136.1232365749997</v>
      </c>
    </row>
    <row r="7" ht="15.75" customHeight="1">
      <c r="A7" s="1" t="str">
        <f>'(patio_costs)'!A19</f>
        <v>2400</v>
      </c>
      <c r="B7" s="1">
        <v>1808.4992707249999</v>
      </c>
      <c r="C7" s="1">
        <v>1833.9093144749997</v>
      </c>
      <c r="D7" s="1">
        <v>1859.319358225</v>
      </c>
      <c r="E7" s="1">
        <v>1884.729401975</v>
      </c>
      <c r="F7" s="1">
        <v>1910.1394457249999</v>
      </c>
      <c r="G7" s="1">
        <v>1935.5494894749997</v>
      </c>
      <c r="H7" s="1">
        <v>1960.9517147499994</v>
      </c>
      <c r="I7" s="1">
        <v>1986.3617584999997</v>
      </c>
      <c r="J7" s="1">
        <v>2011.7718022499996</v>
      </c>
      <c r="K7" s="1">
        <v>2037.1818459999997</v>
      </c>
      <c r="L7" s="1">
        <v>2063.3893741999996</v>
      </c>
      <c r="M7" s="1">
        <v>2088.7994179499997</v>
      </c>
      <c r="N7" s="1">
        <v>2114.2094616999993</v>
      </c>
      <c r="O7" s="1">
        <v>2139.611686975</v>
      </c>
      <c r="P7" s="1">
        <v>2165.021730725</v>
      </c>
      <c r="Q7" s="1">
        <v>2190.4317744749997</v>
      </c>
      <c r="R7" s="1">
        <v>2215.8418182249998</v>
      </c>
      <c r="S7" s="1">
        <v>2241.2518619749994</v>
      </c>
      <c r="T7" s="1">
        <v>2266.661905725</v>
      </c>
      <c r="U7" s="1">
        <v>2292.0719494749997</v>
      </c>
      <c r="V7" s="1">
        <v>2348.0365935249997</v>
      </c>
      <c r="W7" s="1">
        <v>2373.4388187999994</v>
      </c>
      <c r="X7" s="1">
        <v>2398.8488625499995</v>
      </c>
      <c r="Y7" s="1">
        <v>2424.2589062999996</v>
      </c>
      <c r="Z7" s="1">
        <v>2450.4664344999997</v>
      </c>
      <c r="AA7" s="1">
        <v>2475.8764782499998</v>
      </c>
      <c r="AB7" s="1">
        <v>2501.2865219999994</v>
      </c>
      <c r="AC7" s="1">
        <v>2526.6887472749995</v>
      </c>
      <c r="AD7" s="1">
        <v>2552.0987910249996</v>
      </c>
      <c r="AE7" s="1">
        <v>2577.5088347749997</v>
      </c>
      <c r="AF7" s="1">
        <v>2602.918878525</v>
      </c>
      <c r="AG7" s="1">
        <v>2628.3289222749995</v>
      </c>
      <c r="AH7" s="1">
        <v>2653.7389660249996</v>
      </c>
      <c r="AI7" s="1">
        <v>2679.1490097749997</v>
      </c>
      <c r="AJ7" s="1">
        <v>2704.5590535249994</v>
      </c>
      <c r="AK7" s="1">
        <v>2729.9612787999995</v>
      </c>
      <c r="AL7" s="1">
        <v>2755.3713225499996</v>
      </c>
      <c r="AM7" s="1">
        <v>2781.578850749999</v>
      </c>
      <c r="AN7" s="1">
        <v>2806.9888944999993</v>
      </c>
      <c r="AO7" s="1">
        <v>2832.3989382499994</v>
      </c>
      <c r="AP7" s="1">
        <v>2857.8089819999996</v>
      </c>
      <c r="AQ7" s="1">
        <v>2883.2190257499997</v>
      </c>
      <c r="AR7" s="1">
        <v>2908.6212510249998</v>
      </c>
      <c r="AS7" s="1">
        <v>2934.0312947749994</v>
      </c>
      <c r="AT7" s="1">
        <v>2959.4413385249995</v>
      </c>
      <c r="AU7" s="1">
        <v>2984.8513822749997</v>
      </c>
      <c r="AV7" s="1">
        <v>3010.2614260249998</v>
      </c>
      <c r="AW7" s="1">
        <v>3035.6714697749994</v>
      </c>
      <c r="AX7" s="1">
        <v>3061.0815135249995</v>
      </c>
      <c r="AY7" s="1">
        <v>3086.4915572749996</v>
      </c>
      <c r="AZ7" s="1">
        <v>3111.8937825499997</v>
      </c>
      <c r="BA7" s="1">
        <v>3138.1013107499994</v>
      </c>
      <c r="BB7" s="1">
        <v>3163.511354499999</v>
      </c>
      <c r="BC7" s="1">
        <v>3176.216376374999</v>
      </c>
    </row>
    <row r="8" ht="15.75" customHeight="1">
      <c r="A8" s="1" t="str">
        <f>'(patio_costs)'!A20</f>
        <v>2500</v>
      </c>
      <c r="B8" s="1">
        <v>1848.5924105249997</v>
      </c>
      <c r="C8" s="1">
        <v>1874.0024542749998</v>
      </c>
      <c r="D8" s="1">
        <v>1899.4124980249996</v>
      </c>
      <c r="E8" s="1">
        <v>1924.8147233</v>
      </c>
      <c r="F8" s="1">
        <v>1950.2247670499999</v>
      </c>
      <c r="G8" s="1">
        <v>1975.6348107999997</v>
      </c>
      <c r="H8" s="1">
        <v>2001.0448545499999</v>
      </c>
      <c r="I8" s="1">
        <v>2026.4548982999997</v>
      </c>
      <c r="J8" s="1">
        <v>2051.8649420499996</v>
      </c>
      <c r="K8" s="1">
        <v>2077.2749857999997</v>
      </c>
      <c r="L8" s="1">
        <v>2103.482514</v>
      </c>
      <c r="M8" s="1">
        <v>2128.8847392749994</v>
      </c>
      <c r="N8" s="1">
        <v>2154.2947830249996</v>
      </c>
      <c r="O8" s="1">
        <v>2179.7048267749997</v>
      </c>
      <c r="P8" s="1">
        <v>2205.1148705249993</v>
      </c>
      <c r="Q8" s="1">
        <v>2230.524914275</v>
      </c>
      <c r="R8" s="1">
        <v>2255.9349580249996</v>
      </c>
      <c r="S8" s="1">
        <v>2281.3450017749997</v>
      </c>
      <c r="T8" s="1">
        <v>2322.0245271999997</v>
      </c>
      <c r="U8" s="1">
        <v>2362.7118710999994</v>
      </c>
      <c r="V8" s="1">
        <v>2388.12191485</v>
      </c>
      <c r="W8" s="1">
        <v>2413.5319585999996</v>
      </c>
      <c r="X8" s="1">
        <v>2438.9420023499997</v>
      </c>
      <c r="Y8" s="1">
        <v>2464.3520461</v>
      </c>
      <c r="Z8" s="1">
        <v>2490.5595742999994</v>
      </c>
      <c r="AA8" s="1">
        <v>2515.9617995749995</v>
      </c>
      <c r="AB8" s="1">
        <v>2541.3718433249996</v>
      </c>
      <c r="AC8" s="1">
        <v>2566.7818870749993</v>
      </c>
      <c r="AD8" s="1">
        <v>2592.1919308249994</v>
      </c>
      <c r="AE8" s="1">
        <v>2617.6019745749995</v>
      </c>
      <c r="AF8" s="1">
        <v>2643.012018324999</v>
      </c>
      <c r="AG8" s="1">
        <v>2668.4220620749993</v>
      </c>
      <c r="AH8" s="1">
        <v>2693.8321058249994</v>
      </c>
      <c r="AI8" s="1">
        <v>2719.2343310999995</v>
      </c>
      <c r="AJ8" s="1">
        <v>2744.6443748499996</v>
      </c>
      <c r="AK8" s="1">
        <v>2770.0544185999993</v>
      </c>
      <c r="AL8" s="1">
        <v>2795.46446235</v>
      </c>
      <c r="AM8" s="1">
        <v>2821.67199055</v>
      </c>
      <c r="AN8" s="1">
        <v>2847.0820342999996</v>
      </c>
      <c r="AO8" s="1">
        <v>2872.4920780499997</v>
      </c>
      <c r="AP8" s="1">
        <v>2897.8943033249993</v>
      </c>
      <c r="AQ8" s="1">
        <v>2923.3043470749994</v>
      </c>
      <c r="AR8" s="1">
        <v>2948.7143908249996</v>
      </c>
      <c r="AS8" s="1">
        <v>2974.1244345749997</v>
      </c>
      <c r="AT8" s="1">
        <v>2999.5344783249993</v>
      </c>
      <c r="AU8" s="1">
        <v>3024.9445220749994</v>
      </c>
      <c r="AV8" s="1">
        <v>3050.354565824999</v>
      </c>
      <c r="AW8" s="1">
        <v>3075.7567910999996</v>
      </c>
      <c r="AX8" s="1">
        <v>3101.1668348499998</v>
      </c>
      <c r="AY8" s="1">
        <v>3126.5768785999994</v>
      </c>
      <c r="AZ8" s="1">
        <v>3151.9869223499995</v>
      </c>
      <c r="BA8" s="1">
        <v>3178.1944505499996</v>
      </c>
      <c r="BB8" s="1">
        <v>3203.6044942999993</v>
      </c>
      <c r="BC8" s="1">
        <v>3216.309516174999</v>
      </c>
    </row>
    <row r="9" ht="15.75" customHeight="1">
      <c r="A9" s="1" t="str">
        <f>'(patio_costs)'!A21</f>
        <v>2600</v>
      </c>
      <c r="B9" s="1">
        <v>1888.6855503249997</v>
      </c>
      <c r="C9" s="1">
        <v>1914.0877755999998</v>
      </c>
      <c r="D9" s="1">
        <v>1939.4978193499996</v>
      </c>
      <c r="E9" s="1">
        <v>1964.9078630999995</v>
      </c>
      <c r="F9" s="1">
        <v>1990.3179068499994</v>
      </c>
      <c r="G9" s="1">
        <v>2015.7279505999995</v>
      </c>
      <c r="H9" s="1">
        <v>2041.1379943499996</v>
      </c>
      <c r="I9" s="1">
        <v>2066.5480380999998</v>
      </c>
      <c r="J9" s="1">
        <v>2091.950263375</v>
      </c>
      <c r="K9" s="1">
        <v>2117.3603071249995</v>
      </c>
      <c r="L9" s="1">
        <v>2143.5678353249996</v>
      </c>
      <c r="M9" s="1">
        <v>2168.9778790749997</v>
      </c>
      <c r="N9" s="1">
        <v>2194.387922825</v>
      </c>
      <c r="O9" s="1">
        <v>2219.797966575</v>
      </c>
      <c r="P9" s="1">
        <v>2245.2080103249996</v>
      </c>
      <c r="Q9" s="1">
        <v>2270.610235599999</v>
      </c>
      <c r="R9" s="1">
        <v>2311.2975794999998</v>
      </c>
      <c r="S9" s="1">
        <v>2351.9849233999994</v>
      </c>
      <c r="T9" s="1">
        <v>2377.3949671499995</v>
      </c>
      <c r="U9" s="1">
        <v>2402.8050108999996</v>
      </c>
      <c r="V9" s="1">
        <v>2428.2150546499993</v>
      </c>
      <c r="W9" s="1">
        <v>2453.6250983999994</v>
      </c>
      <c r="X9" s="1">
        <v>2479.027323675</v>
      </c>
      <c r="Y9" s="1">
        <v>2504.4373674249996</v>
      </c>
      <c r="Z9" s="1">
        <v>2530.6448956249997</v>
      </c>
      <c r="AA9" s="1">
        <v>2556.054939375</v>
      </c>
      <c r="AB9" s="1">
        <v>2581.4649831249994</v>
      </c>
      <c r="AC9" s="1">
        <v>2606.8750268749995</v>
      </c>
      <c r="AD9" s="1">
        <v>2632.2850706249997</v>
      </c>
      <c r="AE9" s="1">
        <v>2657.695114375</v>
      </c>
      <c r="AF9" s="1">
        <v>2683.0973396499994</v>
      </c>
      <c r="AG9" s="1">
        <v>2708.5073833999995</v>
      </c>
      <c r="AH9" s="1">
        <v>2733.9174271499996</v>
      </c>
      <c r="AI9" s="1">
        <v>2759.3274708999998</v>
      </c>
      <c r="AJ9" s="1">
        <v>2784.7375146499994</v>
      </c>
      <c r="AK9" s="1">
        <v>2810.1475583999995</v>
      </c>
      <c r="AL9" s="1">
        <v>2835.557602149999</v>
      </c>
      <c r="AM9" s="1">
        <v>2861.7573118749992</v>
      </c>
      <c r="AN9" s="1">
        <v>2887.167355625</v>
      </c>
      <c r="AO9" s="1">
        <v>2912.5773993749995</v>
      </c>
      <c r="AP9" s="1">
        <v>2937.9874431249996</v>
      </c>
      <c r="AQ9" s="1">
        <v>2963.3974868749997</v>
      </c>
      <c r="AR9" s="1">
        <v>2988.8075306249993</v>
      </c>
      <c r="AS9" s="1">
        <v>3014.2175743749995</v>
      </c>
      <c r="AT9" s="1">
        <v>3039.6197996499995</v>
      </c>
      <c r="AU9" s="1">
        <v>3065.029843399999</v>
      </c>
      <c r="AV9" s="1">
        <v>3090.43988715</v>
      </c>
      <c r="AW9" s="1">
        <v>3115.8499308999994</v>
      </c>
      <c r="AX9" s="1">
        <v>3141.2599746499995</v>
      </c>
      <c r="AY9" s="1">
        <v>3166.6700183999997</v>
      </c>
      <c r="AZ9" s="1">
        <v>3192.0800621499993</v>
      </c>
      <c r="BA9" s="1">
        <v>3218.2797718749994</v>
      </c>
      <c r="BB9" s="1">
        <v>3243.6898156249995</v>
      </c>
      <c r="BC9" s="1">
        <v>3256.3948374999995</v>
      </c>
    </row>
    <row r="10" ht="15.75" customHeight="1">
      <c r="A10" s="1" t="str">
        <f>'(patio_costs)'!A22</f>
        <v>2700</v>
      </c>
      <c r="B10" s="1">
        <v>1928.7708716499997</v>
      </c>
      <c r="C10" s="1">
        <v>1954.1809153999995</v>
      </c>
      <c r="D10" s="1">
        <v>1979.5909591499997</v>
      </c>
      <c r="E10" s="1">
        <v>2005.0010028999998</v>
      </c>
      <c r="F10" s="1">
        <v>2030.41104665</v>
      </c>
      <c r="G10" s="1">
        <v>2055.8210904</v>
      </c>
      <c r="H10" s="1">
        <v>2081.2233156749994</v>
      </c>
      <c r="I10" s="1">
        <v>2106.6333594249995</v>
      </c>
      <c r="J10" s="1">
        <v>2132.0434031749996</v>
      </c>
      <c r="K10" s="1">
        <v>2157.4534469249998</v>
      </c>
      <c r="L10" s="1">
        <v>2183.6609751249994</v>
      </c>
      <c r="M10" s="1">
        <v>2209.0710188749995</v>
      </c>
      <c r="N10" s="1">
        <v>2234.4810626249996</v>
      </c>
      <c r="O10" s="1">
        <v>2259.8832878999997</v>
      </c>
      <c r="P10" s="1">
        <v>2285.29333165</v>
      </c>
      <c r="Q10" s="1">
        <v>2341.2579757</v>
      </c>
      <c r="R10" s="1">
        <v>2366.6680194499995</v>
      </c>
      <c r="S10" s="1">
        <v>2392.0780631999996</v>
      </c>
      <c r="T10" s="1">
        <v>2417.4881069499993</v>
      </c>
      <c r="U10" s="1">
        <v>2442.8981507</v>
      </c>
      <c r="V10" s="1">
        <v>2468.300375975</v>
      </c>
      <c r="W10" s="1">
        <v>2493.7104197249996</v>
      </c>
      <c r="X10" s="1">
        <v>2519.1204634749997</v>
      </c>
      <c r="Y10" s="1">
        <v>2544.530507225</v>
      </c>
      <c r="Z10" s="1">
        <v>2570.738035425</v>
      </c>
      <c r="AA10" s="1">
        <v>2596.148079175</v>
      </c>
      <c r="AB10" s="1">
        <v>2621.5581229249997</v>
      </c>
      <c r="AC10" s="1">
        <v>2646.9603481999993</v>
      </c>
      <c r="AD10" s="1">
        <v>2672.3703919499994</v>
      </c>
      <c r="AE10" s="1">
        <v>2697.7804356999995</v>
      </c>
      <c r="AF10" s="1">
        <v>2723.1904794499997</v>
      </c>
      <c r="AG10" s="1">
        <v>2748.6005231999998</v>
      </c>
      <c r="AH10" s="1">
        <v>2774.0105669499994</v>
      </c>
      <c r="AI10" s="1">
        <v>2799.4206106999995</v>
      </c>
      <c r="AJ10" s="1">
        <v>2824.8306544499997</v>
      </c>
      <c r="AK10" s="1">
        <v>2850.2328797249997</v>
      </c>
      <c r="AL10" s="1">
        <v>2875.642923475</v>
      </c>
      <c r="AM10" s="1">
        <v>2901.850451675</v>
      </c>
      <c r="AN10" s="1">
        <v>2927.2604954249996</v>
      </c>
      <c r="AO10" s="1">
        <v>2952.6705391749997</v>
      </c>
      <c r="AP10" s="1">
        <v>2978.080582925</v>
      </c>
      <c r="AQ10" s="1">
        <v>3003.490626675</v>
      </c>
      <c r="AR10" s="1">
        <v>3028.8928519499996</v>
      </c>
      <c r="AS10" s="1">
        <v>3054.302895699999</v>
      </c>
      <c r="AT10" s="1">
        <v>3079.7129394499993</v>
      </c>
      <c r="AU10" s="1">
        <v>3105.1229831999995</v>
      </c>
      <c r="AV10" s="1">
        <v>3130.5330269499996</v>
      </c>
      <c r="AW10" s="1">
        <v>3155.9430706999997</v>
      </c>
      <c r="AX10" s="1">
        <v>3181.3531144499993</v>
      </c>
      <c r="AY10" s="1">
        <v>3206.7631582</v>
      </c>
      <c r="AZ10" s="1">
        <v>3232.165383475</v>
      </c>
      <c r="BA10" s="1">
        <v>3258.3729116749996</v>
      </c>
      <c r="BB10" s="1">
        <v>3283.7829554249993</v>
      </c>
      <c r="BC10" s="1">
        <v>3267.7785371</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74" width="12.57"/>
  </cols>
  <sheetData>
    <row r="1" ht="15.75" customHeight="1">
      <c r="A1" s="1" t="s">
        <v>15</v>
      </c>
      <c r="B1" s="1" t="s">
        <v>745</v>
      </c>
      <c r="C1" s="1" t="s">
        <v>742</v>
      </c>
    </row>
    <row r="2" ht="15.75" customHeight="1">
      <c r="A2" s="1" t="str">
        <f>'(patio_costs)'!A25</f>
        <v/>
      </c>
      <c r="B2" s="1" t="str">
        <f>'(patio_costs)'!B25</f>
        <v>2800</v>
      </c>
      <c r="C2" s="1" t="str">
        <f>'(patio_costs)'!C25</f>
        <v>2900</v>
      </c>
      <c r="D2" s="1" t="str">
        <f>'(patio_costs)'!D25</f>
        <v>3000</v>
      </c>
      <c r="E2" s="1" t="str">
        <f>'(patio_costs)'!E25</f>
        <v>3100</v>
      </c>
      <c r="F2" s="1" t="str">
        <f>'(patio_costs)'!F25</f>
        <v>3200</v>
      </c>
      <c r="G2" s="1" t="str">
        <f>'(patio_costs)'!G25</f>
        <v>3300</v>
      </c>
      <c r="H2" s="1" t="str">
        <f>'(patio_costs)'!H25</f>
        <v>3400</v>
      </c>
      <c r="I2" s="1" t="str">
        <f>'(patio_costs)'!I25</f>
        <v>3500</v>
      </c>
      <c r="J2" s="1" t="str">
        <f>'(patio_costs)'!J25</f>
        <v>3600</v>
      </c>
      <c r="K2" s="1" t="str">
        <f>'(patio_costs)'!K25</f>
        <v>3700</v>
      </c>
      <c r="L2" s="1" t="str">
        <f>'(patio_costs)'!L25</f>
        <v>3800</v>
      </c>
      <c r="M2" s="1" t="str">
        <f>'(patio_costs)'!M25</f>
        <v>3900</v>
      </c>
      <c r="N2" s="1" t="str">
        <f>'(patio_costs)'!N25</f>
        <v>4000</v>
      </c>
      <c r="O2" s="1" t="str">
        <f>'(patio_costs)'!O25</f>
        <v>4100</v>
      </c>
      <c r="P2" s="1" t="str">
        <f>'(patio_costs)'!P25</f>
        <v>4200</v>
      </c>
      <c r="Q2" s="1" t="str">
        <f>'(patio_costs)'!Q25</f>
        <v>4300</v>
      </c>
      <c r="R2" s="1" t="str">
        <f>'(patio_costs)'!R25</f>
        <v>4400</v>
      </c>
      <c r="S2" s="1" t="str">
        <f>'(patio_costs)'!S25</f>
        <v>4500</v>
      </c>
      <c r="T2" s="1" t="str">
        <f>'(patio_costs)'!T25</f>
        <v>4600</v>
      </c>
      <c r="U2" s="1" t="str">
        <f>'(patio_costs)'!U25</f>
        <v>4700</v>
      </c>
      <c r="V2" s="1" t="str">
        <f>'(patio_costs)'!V25</f>
        <v>4800</v>
      </c>
      <c r="W2" s="1" t="str">
        <f>'(patio_costs)'!W25</f>
        <v>4900</v>
      </c>
      <c r="X2" s="1" t="str">
        <f>'(patio_costs)'!X25</f>
        <v>5000</v>
      </c>
      <c r="Y2" s="1" t="str">
        <f>'(patio_costs)'!Y25</f>
        <v>5100</v>
      </c>
      <c r="Z2" s="1" t="str">
        <f>'(patio_costs)'!Z25</f>
        <v>5200</v>
      </c>
      <c r="AA2" s="1" t="str">
        <f>'(patio_costs)'!AA25</f>
        <v>5300</v>
      </c>
      <c r="AB2" s="1" t="str">
        <f>'(patio_costs)'!AB25</f>
        <v>5400</v>
      </c>
      <c r="AC2" s="1" t="str">
        <f>'(patio_costs)'!AC25</f>
        <v>5500</v>
      </c>
      <c r="AD2" s="1" t="str">
        <f>'(patio_costs)'!AD25</f>
        <v>5600</v>
      </c>
      <c r="AE2" s="1" t="str">
        <f>'(patio_costs)'!AE25</f>
        <v>5700</v>
      </c>
      <c r="AF2" s="1" t="str">
        <f>'(patio_costs)'!AF25</f>
        <v>5800</v>
      </c>
      <c r="AG2" s="1" t="str">
        <f>'(patio_costs)'!AG25</f>
        <v>5900</v>
      </c>
      <c r="AH2" s="1" t="str">
        <f>'(patio_costs)'!AH25</f>
        <v>6000</v>
      </c>
      <c r="AI2" s="1" t="str">
        <f>'(patio_costs)'!AI25</f>
        <v>6100</v>
      </c>
      <c r="AJ2" s="1" t="str">
        <f>'(patio_costs)'!AJ25</f>
        <v>6200</v>
      </c>
      <c r="AK2" s="1" t="str">
        <f>'(patio_costs)'!AK25</f>
        <v>6300</v>
      </c>
      <c r="AL2" s="1" t="str">
        <f>'(patio_costs)'!AL25</f>
        <v>6400</v>
      </c>
      <c r="AM2" s="1" t="str">
        <f>'(patio_costs)'!AM25</f>
        <v>6500</v>
      </c>
      <c r="AN2" s="1" t="str">
        <f>'(patio_costs)'!AN25</f>
        <v>6600</v>
      </c>
      <c r="AO2" s="1" t="str">
        <f>'(patio_costs)'!AO25</f>
        <v>6700</v>
      </c>
      <c r="AP2" s="1" t="str">
        <f>'(patio_costs)'!AP25</f>
        <v>6800</v>
      </c>
      <c r="AQ2" s="1" t="str">
        <f>'(patio_costs)'!AQ25</f>
        <v>6900</v>
      </c>
      <c r="AR2" s="1" t="str">
        <f>'(patio_costs)'!AR25</f>
        <v>7000</v>
      </c>
      <c r="AS2" s="1" t="str">
        <f>'(patio_costs)'!AS25</f>
        <v>7100</v>
      </c>
      <c r="AT2" s="1" t="str">
        <f>'(patio_costs)'!AT25</f>
        <v>7200</v>
      </c>
      <c r="AU2" s="1" t="str">
        <f>'(patio_costs)'!AU25</f>
        <v>7300</v>
      </c>
      <c r="AV2" s="1" t="str">
        <f>'(patio_costs)'!AV25</f>
        <v>7400</v>
      </c>
      <c r="AW2" s="1" t="str">
        <f>'(patio_costs)'!AW25</f>
        <v>7500</v>
      </c>
      <c r="AX2" s="1" t="str">
        <f>'(patio_costs)'!AX25</f>
        <v>7600</v>
      </c>
      <c r="AY2" s="1" t="str">
        <f>'(patio_costs)'!AY25</f>
        <v>7700</v>
      </c>
      <c r="AZ2" s="1" t="str">
        <f>'(patio_costs)'!AZ25</f>
        <v>7800</v>
      </c>
      <c r="BA2" s="1" t="str">
        <f>'(patio_costs)'!BA25</f>
        <v>7900</v>
      </c>
      <c r="BB2" s="1" t="str">
        <f>'(patio_costs)'!BB25</f>
        <v>8000</v>
      </c>
      <c r="BC2" s="1" t="str">
        <f>'(patio_costs)'!BC25</f>
        <v>8100</v>
      </c>
      <c r="BD2" s="1" t="str">
        <f>'(patio_costs)'!BD25</f>
        <v>8200</v>
      </c>
      <c r="BE2" s="1" t="str">
        <f>'(patio_costs)'!BE25</f>
        <v>8300</v>
      </c>
      <c r="BF2" s="1" t="str">
        <f>'(patio_costs)'!BF25</f>
        <v>8400</v>
      </c>
      <c r="BG2" s="1" t="str">
        <f>'(patio_costs)'!BG25</f>
        <v>8500</v>
      </c>
      <c r="BH2" s="1" t="str">
        <f>'(patio_costs)'!BH25</f>
        <v>8600</v>
      </c>
      <c r="BI2" s="1" t="str">
        <f>'(patio_costs)'!BI25</f>
        <v>8700</v>
      </c>
      <c r="BJ2" s="1" t="str">
        <f>'(patio_costs)'!BJ25</f>
        <v>8800</v>
      </c>
      <c r="BK2" s="1" t="str">
        <f>'(patio_costs)'!BK25</f>
        <v>8900</v>
      </c>
      <c r="BL2" s="1" t="str">
        <f>'(patio_costs)'!BL25</f>
        <v>9000</v>
      </c>
      <c r="BM2" s="1" t="str">
        <f>'(patio_costs)'!BM25</f>
        <v>9100</v>
      </c>
      <c r="BN2" s="1" t="str">
        <f>'(patio_costs)'!BN25</f>
        <v>9200</v>
      </c>
      <c r="BO2" s="1" t="str">
        <f>'(patio_costs)'!BO25</f>
        <v>9300</v>
      </c>
      <c r="BP2" s="1" t="str">
        <f>'(patio_costs)'!BP25</f>
        <v>9400</v>
      </c>
      <c r="BQ2" s="1" t="str">
        <f>'(patio_costs)'!BQ25</f>
        <v>9500</v>
      </c>
      <c r="BR2" s="1" t="str">
        <f>'(patio_costs)'!BR25</f>
        <v>9600</v>
      </c>
      <c r="BS2" s="1" t="str">
        <f>'(patio_costs)'!BS25</f>
        <v>9700</v>
      </c>
      <c r="BT2" s="1" t="str">
        <f>'(patio_costs)'!BT25</f>
        <v>9800</v>
      </c>
      <c r="BU2" s="1" t="str">
        <f>'(patio_costs)'!BU25</f>
        <v>9900</v>
      </c>
      <c r="BV2" s="1" t="str">
        <f>'(patio_costs)'!BV25</f>
        <v>10000</v>
      </c>
    </row>
    <row r="3" ht="15.75" customHeight="1">
      <c r="A3" s="1" t="str">
        <f>'(patio_costs)'!A26</f>
        <v>2000</v>
      </c>
      <c r="B3" s="1" t="str">
        <f t="array" ref="B3:BV10">'(patio_costs)'!B26:BV33*(1+MARKUP!$Z$6)</f>
        <v>1936.362611</v>
      </c>
      <c r="C3" s="1">
        <v>1957.32394235</v>
      </c>
      <c r="D3" s="1">
        <v>1978.2852738249996</v>
      </c>
      <c r="E3" s="1">
        <v>1999.2466052999996</v>
      </c>
      <c r="F3" s="1">
        <v>2020.2079367749998</v>
      </c>
      <c r="G3" s="1">
        <v>2041.1692682499995</v>
      </c>
      <c r="H3" s="1">
        <v>2062.1227812499997</v>
      </c>
      <c r="I3" s="1">
        <v>2083.0841127249996</v>
      </c>
      <c r="J3" s="1">
        <v>2104.0454441999996</v>
      </c>
      <c r="K3" s="1">
        <v>2125.0067756749995</v>
      </c>
      <c r="L3" s="1">
        <v>2145.9681071499995</v>
      </c>
      <c r="M3" s="1">
        <v>2166.929438625</v>
      </c>
      <c r="N3" s="1">
        <v>2187.8907701</v>
      </c>
      <c r="O3" s="1">
        <v>2208.852101575</v>
      </c>
      <c r="P3" s="1">
        <v>2229.8134330499997</v>
      </c>
      <c r="Q3" s="1">
        <v>2250.7747645249997</v>
      </c>
      <c r="R3" s="1">
        <v>2272.7994086</v>
      </c>
      <c r="S3" s="1">
        <v>2293.7607400749994</v>
      </c>
      <c r="T3" s="1">
        <v>2314.72207155</v>
      </c>
      <c r="U3" s="1">
        <v>2335.6834030249997</v>
      </c>
      <c r="V3" s="1">
        <v>2356.6447344999992</v>
      </c>
      <c r="W3" s="1">
        <v>2377.5982474999996</v>
      </c>
      <c r="X3" s="1">
        <v>2398.5595789749996</v>
      </c>
      <c r="Y3" s="1">
        <v>2419.5209104499995</v>
      </c>
      <c r="Z3" s="1">
        <v>2440.4822419249995</v>
      </c>
      <c r="AA3" s="1">
        <v>2461.4435733999994</v>
      </c>
      <c r="AB3" s="1">
        <v>2482.404904875</v>
      </c>
      <c r="AC3" s="1">
        <v>2503.36623635</v>
      </c>
      <c r="AD3" s="1">
        <v>2524.3275678249997</v>
      </c>
      <c r="AE3" s="1">
        <v>2545.2888992999997</v>
      </c>
      <c r="AF3" s="1">
        <v>2566.2502307749996</v>
      </c>
      <c r="AG3" s="1">
        <v>2587.2115622499996</v>
      </c>
      <c r="AH3" s="1">
        <v>2608.1728937249995</v>
      </c>
      <c r="AI3" s="1">
        <v>2629.1342251999995</v>
      </c>
      <c r="AJ3" s="1">
        <v>2651.1588692749997</v>
      </c>
      <c r="AK3" s="1">
        <v>2672.1202007499996</v>
      </c>
      <c r="AL3" s="1">
        <v>2693.0737137499996</v>
      </c>
      <c r="AM3" s="1">
        <v>2714.0350452249995</v>
      </c>
      <c r="AN3" s="1">
        <v>2734.9963766999995</v>
      </c>
      <c r="AO3" s="1">
        <v>2771.2350083249994</v>
      </c>
      <c r="AP3" s="1">
        <v>2792.1963398</v>
      </c>
      <c r="AQ3" s="1">
        <v>2828.4349714249997</v>
      </c>
      <c r="AR3" s="1">
        <v>2849.3963028999997</v>
      </c>
      <c r="AS3" s="1">
        <v>2870.3576343749996</v>
      </c>
      <c r="AT3" s="1">
        <v>2891.3189658499996</v>
      </c>
      <c r="AU3" s="1">
        <v>2912.2802973249995</v>
      </c>
      <c r="AV3" s="1">
        <v>2933.2416287999995</v>
      </c>
      <c r="AW3" s="1">
        <v>2954.2029602749994</v>
      </c>
      <c r="AX3" s="1">
        <v>2975.1642917499994</v>
      </c>
      <c r="AY3" s="1">
        <v>2996.125623225</v>
      </c>
      <c r="AZ3" s="1">
        <v>3017.0791362249993</v>
      </c>
      <c r="BA3" s="1">
        <v>3038.0404676999997</v>
      </c>
      <c r="BB3" s="1">
        <v>3060.0651117749994</v>
      </c>
      <c r="BC3" s="1">
        <v>3081.0264432499994</v>
      </c>
      <c r="BD3" s="1">
        <v>3101.9877747249993</v>
      </c>
      <c r="BE3" s="1">
        <v>3122.9491061999997</v>
      </c>
      <c r="BF3" s="1">
        <v>3143.9104376749997</v>
      </c>
      <c r="BG3" s="1">
        <v>3164.8717691499996</v>
      </c>
      <c r="BH3" s="1">
        <v>3185.8331006249996</v>
      </c>
      <c r="BI3" s="1">
        <v>3206.7944321</v>
      </c>
      <c r="BJ3" s="1">
        <v>3227.7557635749995</v>
      </c>
      <c r="BK3" s="1">
        <v>3248.71709505</v>
      </c>
      <c r="BL3" s="1">
        <v>3269.6784265249994</v>
      </c>
      <c r="BM3" s="1">
        <v>3290.6397579999993</v>
      </c>
      <c r="BN3" s="1">
        <v>3311.593271</v>
      </c>
      <c r="BO3" s="1">
        <v>3332.5624209499997</v>
      </c>
      <c r="BP3" s="1">
        <v>3353.5159339499996</v>
      </c>
      <c r="BQ3" s="1">
        <v>3374.4772654249996</v>
      </c>
      <c r="BR3" s="1">
        <v>3395.4385968999995</v>
      </c>
      <c r="BS3" s="1">
        <v>3416.399928374999</v>
      </c>
      <c r="BT3" s="1">
        <v>3438.4245724499997</v>
      </c>
      <c r="BU3" s="1">
        <v>3459.3859039249996</v>
      </c>
      <c r="BV3" s="1">
        <v>3480.347235399999</v>
      </c>
    </row>
    <row r="4" ht="15.75" customHeight="1">
      <c r="A4" s="1" t="str">
        <f>'(patio_costs)'!A27</f>
        <v>2100</v>
      </c>
      <c r="B4" s="1">
        <v>1984.1960409249996</v>
      </c>
      <c r="C4" s="1">
        <v>2005.1573723999995</v>
      </c>
      <c r="D4" s="1">
        <v>2026.1187038749997</v>
      </c>
      <c r="E4" s="1">
        <v>2047.08003535</v>
      </c>
      <c r="F4" s="1">
        <v>2068.041366825</v>
      </c>
      <c r="G4" s="1">
        <v>2089.0026983</v>
      </c>
      <c r="H4" s="1">
        <v>2109.9640297749997</v>
      </c>
      <c r="I4" s="1">
        <v>2130.9253612499997</v>
      </c>
      <c r="J4" s="1">
        <v>2151.8866927249996</v>
      </c>
      <c r="K4" s="1">
        <v>2172.8480241999996</v>
      </c>
      <c r="L4" s="1">
        <v>2193.8015372</v>
      </c>
      <c r="M4" s="1">
        <v>2214.7628686749995</v>
      </c>
      <c r="N4" s="1">
        <v>2235.7242001499994</v>
      </c>
      <c r="O4" s="1">
        <v>2256.685531625</v>
      </c>
      <c r="P4" s="1">
        <v>2277.6468630999993</v>
      </c>
      <c r="Q4" s="1">
        <v>2298.6081945749997</v>
      </c>
      <c r="R4" s="1">
        <v>2320.6328386499995</v>
      </c>
      <c r="S4" s="1">
        <v>2341.594170125</v>
      </c>
      <c r="T4" s="1">
        <v>2362.5555016</v>
      </c>
      <c r="U4" s="1">
        <v>2383.516833075</v>
      </c>
      <c r="V4" s="1">
        <v>2404.4781645499997</v>
      </c>
      <c r="W4" s="1">
        <v>2425.4394960249997</v>
      </c>
      <c r="X4" s="1">
        <v>2446.4008274999997</v>
      </c>
      <c r="Y4" s="1">
        <v>2467.3621589749996</v>
      </c>
      <c r="Z4" s="1">
        <v>2488.3156719749995</v>
      </c>
      <c r="AA4" s="1">
        <v>2509.27700345</v>
      </c>
      <c r="AB4" s="1">
        <v>2530.2383349249994</v>
      </c>
      <c r="AC4" s="1">
        <v>2551.1996663999994</v>
      </c>
      <c r="AD4" s="1">
        <v>2572.160997875</v>
      </c>
      <c r="AE4" s="1">
        <v>2593.1223293499993</v>
      </c>
      <c r="AF4" s="1">
        <v>2614.0836608249997</v>
      </c>
      <c r="AG4" s="1">
        <v>2635.0449922999996</v>
      </c>
      <c r="AH4" s="1">
        <v>2656.0063237749996</v>
      </c>
      <c r="AI4" s="1">
        <v>2676.96765525</v>
      </c>
      <c r="AJ4" s="1">
        <v>2698.9922993249997</v>
      </c>
      <c r="AK4" s="1">
        <v>2735.2309309499997</v>
      </c>
      <c r="AL4" s="1">
        <v>2756.1922624249996</v>
      </c>
      <c r="AM4" s="1">
        <v>2792.4308940499996</v>
      </c>
      <c r="AN4" s="1">
        <v>2813.3844070499995</v>
      </c>
      <c r="AO4" s="1">
        <v>2834.3535569999995</v>
      </c>
      <c r="AP4" s="1">
        <v>2855.30707</v>
      </c>
      <c r="AQ4" s="1">
        <v>2876.2684014749993</v>
      </c>
      <c r="AR4" s="1">
        <v>2897.2297329499997</v>
      </c>
      <c r="AS4" s="1">
        <v>2918.1910644249992</v>
      </c>
      <c r="AT4" s="1">
        <v>2939.152395899999</v>
      </c>
      <c r="AU4" s="1">
        <v>2960.1137273749996</v>
      </c>
      <c r="AV4" s="1">
        <v>2981.0750588499996</v>
      </c>
      <c r="AW4" s="1">
        <v>3002.0363903249995</v>
      </c>
      <c r="AX4" s="1">
        <v>3022.9977218</v>
      </c>
      <c r="AY4" s="1">
        <v>3043.9590532749994</v>
      </c>
      <c r="AZ4" s="1">
        <v>3064.9203847499994</v>
      </c>
      <c r="BA4" s="1">
        <v>3085.8817162249993</v>
      </c>
      <c r="BB4" s="1">
        <v>3107.9063602999995</v>
      </c>
      <c r="BC4" s="1">
        <v>3128.867691775</v>
      </c>
      <c r="BD4" s="1">
        <v>3149.8212047749994</v>
      </c>
      <c r="BE4" s="1">
        <v>3170.78253625</v>
      </c>
      <c r="BF4" s="1">
        <v>3191.7438677249997</v>
      </c>
      <c r="BG4" s="1">
        <v>3212.7051991999992</v>
      </c>
      <c r="BH4" s="1">
        <v>3233.666530675</v>
      </c>
      <c r="BI4" s="1">
        <v>3254.627862149999</v>
      </c>
      <c r="BJ4" s="1">
        <v>3275.5891936249996</v>
      </c>
      <c r="BK4" s="1">
        <v>3296.5505250999995</v>
      </c>
      <c r="BL4" s="1">
        <v>3317.5118565749995</v>
      </c>
      <c r="BM4" s="1">
        <v>3338.473188049999</v>
      </c>
      <c r="BN4" s="1">
        <v>3359.434519525</v>
      </c>
      <c r="BO4" s="1">
        <v>3380.3958509999998</v>
      </c>
      <c r="BP4" s="1">
        <v>3401.3571824749993</v>
      </c>
      <c r="BQ4" s="1">
        <v>3422.318513949999</v>
      </c>
      <c r="BR4" s="1">
        <v>3443.2798454249996</v>
      </c>
      <c r="BS4" s="1">
        <v>3464.233358424999</v>
      </c>
      <c r="BT4" s="1">
        <v>3486.2658209749998</v>
      </c>
      <c r="BU4" s="1">
        <v>3507.2193339749997</v>
      </c>
      <c r="BV4" s="1">
        <v>3528.180665449999</v>
      </c>
    </row>
    <row r="5" ht="15.75" customHeight="1">
      <c r="A5" s="1" t="str">
        <f>'(patio_costs)'!A28</f>
        <v>2200</v>
      </c>
      <c r="B5" s="1">
        <v>2032.029470975</v>
      </c>
      <c r="C5" s="1">
        <v>2052.9908024499996</v>
      </c>
      <c r="D5" s="1">
        <v>2073.952133925</v>
      </c>
      <c r="E5" s="1">
        <v>2094.9134653999995</v>
      </c>
      <c r="F5" s="1">
        <v>2115.874796875</v>
      </c>
      <c r="G5" s="1">
        <v>2136.83612835</v>
      </c>
      <c r="H5" s="1">
        <v>2157.7974598249994</v>
      </c>
      <c r="I5" s="1">
        <v>2178.7587912999998</v>
      </c>
      <c r="J5" s="1">
        <v>2199.7201227749993</v>
      </c>
      <c r="K5" s="1">
        <v>2220.6814542499997</v>
      </c>
      <c r="L5" s="1">
        <v>2241.642785725</v>
      </c>
      <c r="M5" s="1">
        <v>2262.6041171999996</v>
      </c>
      <c r="N5" s="1">
        <v>2283.5654486749995</v>
      </c>
      <c r="O5" s="1">
        <v>2304.5267801499995</v>
      </c>
      <c r="P5" s="1">
        <v>2325.48029315</v>
      </c>
      <c r="Q5" s="1">
        <v>2346.4494431</v>
      </c>
      <c r="R5" s="1">
        <v>2368.4662686999995</v>
      </c>
      <c r="S5" s="1">
        <v>2389.427600175</v>
      </c>
      <c r="T5" s="1">
        <v>2410.3889316499994</v>
      </c>
      <c r="U5" s="1">
        <v>2431.350263125</v>
      </c>
      <c r="V5" s="1">
        <v>2452.3115946</v>
      </c>
      <c r="W5" s="1">
        <v>2473.2729260749993</v>
      </c>
      <c r="X5" s="1">
        <v>2494.2342575499997</v>
      </c>
      <c r="Y5" s="1">
        <v>2515.195589024999</v>
      </c>
      <c r="Z5" s="1">
        <v>2536.1569204999996</v>
      </c>
      <c r="AA5" s="1">
        <v>2557.118251975</v>
      </c>
      <c r="AB5" s="1">
        <v>2578.0795834499995</v>
      </c>
      <c r="AC5" s="1">
        <v>2599.040914925</v>
      </c>
      <c r="AD5" s="1">
        <v>2619.994427925</v>
      </c>
      <c r="AE5" s="1">
        <v>2640.9557594</v>
      </c>
      <c r="AF5" s="1">
        <v>2661.9170908749998</v>
      </c>
      <c r="AG5" s="1">
        <v>2682.8784223499997</v>
      </c>
      <c r="AH5" s="1">
        <v>2719.1170539749996</v>
      </c>
      <c r="AI5" s="1">
        <v>2740.0783854499996</v>
      </c>
      <c r="AJ5" s="1">
        <v>2777.3803296749998</v>
      </c>
      <c r="AK5" s="1">
        <v>2798.3416611499993</v>
      </c>
      <c r="AL5" s="1">
        <v>2819.3029926249997</v>
      </c>
      <c r="AM5" s="1">
        <v>2840.2643241</v>
      </c>
      <c r="AN5" s="1">
        <v>2861.2256555749996</v>
      </c>
      <c r="AO5" s="1">
        <v>2882.1869870499995</v>
      </c>
      <c r="AP5" s="1">
        <v>2903.1483185249995</v>
      </c>
      <c r="AQ5" s="1">
        <v>2924.1096499999994</v>
      </c>
      <c r="AR5" s="1">
        <v>2945.070981475</v>
      </c>
      <c r="AS5" s="1">
        <v>2966.0323129499993</v>
      </c>
      <c r="AT5" s="1">
        <v>2986.9936444249993</v>
      </c>
      <c r="AU5" s="1">
        <v>3007.9471574249997</v>
      </c>
      <c r="AV5" s="1">
        <v>3028.908488899999</v>
      </c>
      <c r="AW5" s="1">
        <v>3049.8698203749996</v>
      </c>
      <c r="AX5" s="1">
        <v>3070.8311518499995</v>
      </c>
      <c r="AY5" s="1">
        <v>3091.7924833249995</v>
      </c>
      <c r="AZ5" s="1">
        <v>3112.7538147999994</v>
      </c>
      <c r="BA5" s="1">
        <v>3133.7151462749994</v>
      </c>
      <c r="BB5" s="1">
        <v>3155.73979035</v>
      </c>
      <c r="BC5" s="1">
        <v>3176.701121825</v>
      </c>
      <c r="BD5" s="1">
        <v>3197.6624532999995</v>
      </c>
      <c r="BE5" s="1">
        <v>3218.6237847749994</v>
      </c>
      <c r="BF5" s="1">
        <v>3239.5851162499994</v>
      </c>
      <c r="BG5" s="1">
        <v>3260.546447725</v>
      </c>
      <c r="BH5" s="1">
        <v>3281.5077791999997</v>
      </c>
      <c r="BI5" s="1">
        <v>3302.4612921999997</v>
      </c>
      <c r="BJ5" s="1">
        <v>3323.4226236749987</v>
      </c>
      <c r="BK5" s="1">
        <v>3344.3839551499996</v>
      </c>
      <c r="BL5" s="1">
        <v>3365.345286625</v>
      </c>
      <c r="BM5" s="1">
        <v>3386.306618099999</v>
      </c>
      <c r="BN5" s="1">
        <v>3407.267949575</v>
      </c>
      <c r="BO5" s="1">
        <v>3428.2292810499994</v>
      </c>
      <c r="BP5" s="1">
        <v>3449.1906125249993</v>
      </c>
      <c r="BQ5" s="1">
        <v>3470.1519439999997</v>
      </c>
      <c r="BR5" s="1">
        <v>3491.1132754749997</v>
      </c>
      <c r="BS5" s="1">
        <v>3512.0746069499996</v>
      </c>
      <c r="BT5" s="1">
        <v>3534.0992510249994</v>
      </c>
      <c r="BU5" s="1">
        <v>3555.0605824999993</v>
      </c>
      <c r="BV5" s="1">
        <v>3576.0219139749997</v>
      </c>
    </row>
    <row r="6" ht="15.75" customHeight="1">
      <c r="A6" s="1" t="str">
        <f>'(patio_costs)'!A29</f>
        <v>2300</v>
      </c>
      <c r="B6" s="1">
        <v>2079.8707194999993</v>
      </c>
      <c r="C6" s="1">
        <v>2100.8320509749997</v>
      </c>
      <c r="D6" s="1">
        <v>2121.79338245</v>
      </c>
      <c r="E6" s="1">
        <v>2142.7468954499996</v>
      </c>
      <c r="F6" s="1">
        <v>2163.7082269249995</v>
      </c>
      <c r="G6" s="1">
        <v>2184.6695583999995</v>
      </c>
      <c r="H6" s="1">
        <v>2205.630889875</v>
      </c>
      <c r="I6" s="1">
        <v>2226.59222135</v>
      </c>
      <c r="J6" s="1">
        <v>2247.5535528249998</v>
      </c>
      <c r="K6" s="1">
        <v>2268.5148842999997</v>
      </c>
      <c r="L6" s="1">
        <v>2289.4762157749997</v>
      </c>
      <c r="M6" s="1">
        <v>2310.4375472499996</v>
      </c>
      <c r="N6" s="1">
        <v>2331.3988787249996</v>
      </c>
      <c r="O6" s="1">
        <v>2352.3602101999995</v>
      </c>
      <c r="P6" s="1">
        <v>2373.321541675</v>
      </c>
      <c r="Q6" s="1">
        <v>2394.28287315</v>
      </c>
      <c r="R6" s="1">
        <v>2416.3075172249996</v>
      </c>
      <c r="S6" s="1">
        <v>2437.2610302249996</v>
      </c>
      <c r="T6" s="1">
        <v>2458.2301801749995</v>
      </c>
      <c r="U6" s="1">
        <v>2479.1836931749995</v>
      </c>
      <c r="V6" s="1">
        <v>2500.1450246499994</v>
      </c>
      <c r="W6" s="1">
        <v>2521.106356125</v>
      </c>
      <c r="X6" s="1">
        <v>2542.0676875999998</v>
      </c>
      <c r="Y6" s="1">
        <v>2563.0290190749997</v>
      </c>
      <c r="Z6" s="1">
        <v>2583.9903505499997</v>
      </c>
      <c r="AA6" s="1">
        <v>2604.9516820249996</v>
      </c>
      <c r="AB6" s="1">
        <v>2625.9130134999996</v>
      </c>
      <c r="AC6" s="1">
        <v>2646.8743449749995</v>
      </c>
      <c r="AD6" s="1">
        <v>2667.8356764499995</v>
      </c>
      <c r="AE6" s="1">
        <v>2704.074308075</v>
      </c>
      <c r="AF6" s="1">
        <v>2725.03563955</v>
      </c>
      <c r="AG6" s="1">
        <v>2761.2742711749993</v>
      </c>
      <c r="AH6" s="1">
        <v>2782.2356026499997</v>
      </c>
      <c r="AI6" s="1">
        <v>2803.1891156499996</v>
      </c>
      <c r="AJ6" s="1">
        <v>2825.2215782</v>
      </c>
      <c r="AK6" s="1">
        <v>2846.1750911999998</v>
      </c>
      <c r="AL6" s="1">
        <v>2867.1364226749997</v>
      </c>
      <c r="AM6" s="1">
        <v>2888.0977541499997</v>
      </c>
      <c r="AN6" s="1">
        <v>2909.0590856249996</v>
      </c>
      <c r="AO6" s="1">
        <v>2930.0204170999996</v>
      </c>
      <c r="AP6" s="1">
        <v>2950.9817485749995</v>
      </c>
      <c r="AQ6" s="1">
        <v>2971.9430800499995</v>
      </c>
      <c r="AR6" s="1">
        <v>2992.9044115249994</v>
      </c>
      <c r="AS6" s="1">
        <v>3013.865743</v>
      </c>
      <c r="AT6" s="1">
        <v>3034.827074475</v>
      </c>
      <c r="AU6" s="1">
        <v>3055.7884059499997</v>
      </c>
      <c r="AV6" s="1">
        <v>3076.7497374249992</v>
      </c>
      <c r="AW6" s="1">
        <v>3097.703250425</v>
      </c>
      <c r="AX6" s="1">
        <v>3118.6724003749996</v>
      </c>
      <c r="AY6" s="1">
        <v>3139.6259133749995</v>
      </c>
      <c r="AZ6" s="1">
        <v>3160.5872448499995</v>
      </c>
      <c r="BA6" s="1">
        <v>3181.5485763249994</v>
      </c>
      <c r="BB6" s="1">
        <v>3203.573220399999</v>
      </c>
      <c r="BC6" s="1">
        <v>3224.5345518749996</v>
      </c>
      <c r="BD6" s="1">
        <v>3245.49588335</v>
      </c>
      <c r="BE6" s="1">
        <v>3266.4572148249995</v>
      </c>
      <c r="BF6" s="1">
        <v>3287.4185462999994</v>
      </c>
      <c r="BG6" s="1">
        <v>3308.379877774999</v>
      </c>
      <c r="BH6" s="1">
        <v>3329.34120925</v>
      </c>
      <c r="BI6" s="1">
        <v>3350.3025407249993</v>
      </c>
      <c r="BJ6" s="1">
        <v>3371.2638721999992</v>
      </c>
      <c r="BK6" s="1">
        <v>3392.2252036749996</v>
      </c>
      <c r="BL6" s="1">
        <v>3413.178716674999</v>
      </c>
      <c r="BM6" s="1">
        <v>3434.1400481499995</v>
      </c>
      <c r="BN6" s="1">
        <v>3455.1013796249995</v>
      </c>
      <c r="BO6" s="1">
        <v>3476.0627110999994</v>
      </c>
      <c r="BP6" s="1">
        <v>3497.0240425749994</v>
      </c>
      <c r="BQ6" s="1">
        <v>3517.98537405</v>
      </c>
      <c r="BR6" s="1">
        <v>3538.9467055249997</v>
      </c>
      <c r="BS6" s="1">
        <v>3559.9080369999992</v>
      </c>
      <c r="BT6" s="1">
        <v>3581.9326810749994</v>
      </c>
      <c r="BU6" s="1">
        <v>3602.89401255</v>
      </c>
      <c r="BV6" s="1">
        <v>3623.855344024999</v>
      </c>
    </row>
    <row r="7" ht="15.75" customHeight="1">
      <c r="A7" s="1" t="str">
        <f>'(patio_costs)'!A30</f>
        <v>2400</v>
      </c>
      <c r="B7" s="1">
        <v>2127.70414955</v>
      </c>
      <c r="C7" s="1">
        <v>2148.6654810249997</v>
      </c>
      <c r="D7" s="1">
        <v>2169.6268124999997</v>
      </c>
      <c r="E7" s="1">
        <v>2190.5881439749996</v>
      </c>
      <c r="F7" s="1">
        <v>2211.5494754499996</v>
      </c>
      <c r="G7" s="1">
        <v>2232.5108069249995</v>
      </c>
      <c r="H7" s="1">
        <v>2253.4721383999995</v>
      </c>
      <c r="I7" s="1">
        <v>2274.4256513999994</v>
      </c>
      <c r="J7" s="1">
        <v>2295.386982875</v>
      </c>
      <c r="K7" s="1">
        <v>2316.3483143499993</v>
      </c>
      <c r="L7" s="1">
        <v>2337.3096458249997</v>
      </c>
      <c r="M7" s="1">
        <v>2358.2709773</v>
      </c>
      <c r="N7" s="1">
        <v>2379.2323087749996</v>
      </c>
      <c r="O7" s="1">
        <v>2400.1936402499996</v>
      </c>
      <c r="P7" s="1">
        <v>2421.1549717249995</v>
      </c>
      <c r="Q7" s="1">
        <v>2442.1163031999995</v>
      </c>
      <c r="R7" s="1">
        <v>2464.1409472749997</v>
      </c>
      <c r="S7" s="1">
        <v>2485.1022787499996</v>
      </c>
      <c r="T7" s="1">
        <v>2506.0636102249996</v>
      </c>
      <c r="U7" s="1">
        <v>2527.0249416999995</v>
      </c>
      <c r="V7" s="1">
        <v>2547.9862731749995</v>
      </c>
      <c r="W7" s="1">
        <v>2568.9476046499994</v>
      </c>
      <c r="X7" s="1">
        <v>2589.9011176499994</v>
      </c>
      <c r="Y7" s="1">
        <v>2610.862449125</v>
      </c>
      <c r="Z7" s="1">
        <v>2631.8237805999993</v>
      </c>
      <c r="AA7" s="1">
        <v>2652.7851120749997</v>
      </c>
      <c r="AB7" s="1">
        <v>2673.74644355</v>
      </c>
      <c r="AC7" s="1">
        <v>2709.9850751749996</v>
      </c>
      <c r="AD7" s="1">
        <v>2730.9464066499995</v>
      </c>
      <c r="AE7" s="1">
        <v>2767.1850382749994</v>
      </c>
      <c r="AF7" s="1">
        <v>2788.1463697499994</v>
      </c>
      <c r="AG7" s="1">
        <v>2809.107701225</v>
      </c>
      <c r="AH7" s="1">
        <v>2830.0690326999993</v>
      </c>
      <c r="AI7" s="1">
        <v>2851.0303641749997</v>
      </c>
      <c r="AJ7" s="1">
        <v>2873.0550082499994</v>
      </c>
      <c r="AK7" s="1">
        <v>2894.0163397249994</v>
      </c>
      <c r="AL7" s="1">
        <v>2914.9776712</v>
      </c>
      <c r="AM7" s="1">
        <v>2935.9311841999993</v>
      </c>
      <c r="AN7" s="1">
        <v>2956.8925156749997</v>
      </c>
      <c r="AO7" s="1">
        <v>2977.853847149999</v>
      </c>
      <c r="AP7" s="1">
        <v>2998.8151786249996</v>
      </c>
      <c r="AQ7" s="1">
        <v>3019.7765100999995</v>
      </c>
      <c r="AR7" s="1">
        <v>3040.7378415749995</v>
      </c>
      <c r="AS7" s="1">
        <v>3061.69917305</v>
      </c>
      <c r="AT7" s="1">
        <v>3082.6605045249994</v>
      </c>
      <c r="AU7" s="1">
        <v>3103.6218359999993</v>
      </c>
      <c r="AV7" s="1">
        <v>3124.5831674749998</v>
      </c>
      <c r="AW7" s="1">
        <v>3145.5444989499997</v>
      </c>
      <c r="AX7" s="1">
        <v>3166.5058304249997</v>
      </c>
      <c r="AY7" s="1">
        <v>3187.4671619</v>
      </c>
      <c r="AZ7" s="1">
        <v>3208.428493374999</v>
      </c>
      <c r="BA7" s="1">
        <v>3229.3898248499995</v>
      </c>
      <c r="BB7" s="1">
        <v>3251.4066504499992</v>
      </c>
      <c r="BC7" s="1">
        <v>3272.375800399999</v>
      </c>
      <c r="BD7" s="1">
        <v>3293.3293133999996</v>
      </c>
      <c r="BE7" s="1">
        <v>3314.2906448749995</v>
      </c>
      <c r="BF7" s="1">
        <v>3335.251976349999</v>
      </c>
      <c r="BG7" s="1">
        <v>3356.213307825</v>
      </c>
      <c r="BH7" s="1">
        <v>3377.1746392999994</v>
      </c>
      <c r="BI7" s="1">
        <v>3398.1359707749994</v>
      </c>
      <c r="BJ7" s="1">
        <v>3419.0973022499993</v>
      </c>
      <c r="BK7" s="1">
        <v>3440.0586337249997</v>
      </c>
      <c r="BL7" s="1">
        <v>3461.0199651999997</v>
      </c>
      <c r="BM7" s="1">
        <v>3481.981296674999</v>
      </c>
      <c r="BN7" s="1">
        <v>3502.94262815</v>
      </c>
      <c r="BO7" s="1">
        <v>3523.903959624999</v>
      </c>
      <c r="BP7" s="1">
        <v>3544.8652910999995</v>
      </c>
      <c r="BQ7" s="1">
        <v>3565.8266225750003</v>
      </c>
      <c r="BR7" s="1">
        <v>3586.7801355749993</v>
      </c>
      <c r="BS7" s="1">
        <v>3607.7414670499993</v>
      </c>
      <c r="BT7" s="1">
        <v>3629.7661111249995</v>
      </c>
      <c r="BU7" s="1">
        <v>3650.727442599999</v>
      </c>
      <c r="BV7" s="1">
        <v>3671.688774075</v>
      </c>
    </row>
    <row r="8" ht="15.75" customHeight="1">
      <c r="A8" s="1" t="str">
        <f>'(patio_costs)'!A31</f>
        <v>2500</v>
      </c>
      <c r="B8" s="1">
        <v>2175.5375796</v>
      </c>
      <c r="C8" s="1">
        <v>2196.4989110749993</v>
      </c>
      <c r="D8" s="1">
        <v>2217.4602425499997</v>
      </c>
      <c r="E8" s="1">
        <v>2238.4215740249992</v>
      </c>
      <c r="F8" s="1">
        <v>2259.3829054999997</v>
      </c>
      <c r="G8" s="1">
        <v>2280.344236975</v>
      </c>
      <c r="H8" s="1">
        <v>2301.3055684499996</v>
      </c>
      <c r="I8" s="1">
        <v>2322.2668999249995</v>
      </c>
      <c r="J8" s="1">
        <v>2343.2282314</v>
      </c>
      <c r="K8" s="1">
        <v>2364.1895628749994</v>
      </c>
      <c r="L8" s="1">
        <v>2385.15089435</v>
      </c>
      <c r="M8" s="1">
        <v>2406.1122258249993</v>
      </c>
      <c r="N8" s="1">
        <v>2427.0657388249997</v>
      </c>
      <c r="O8" s="1">
        <v>2448.0270702999997</v>
      </c>
      <c r="P8" s="1">
        <v>2468.9884017749996</v>
      </c>
      <c r="Q8" s="1">
        <v>2489.9497332499996</v>
      </c>
      <c r="R8" s="1">
        <v>2511.9743773249993</v>
      </c>
      <c r="S8" s="1">
        <v>2532.9357087999997</v>
      </c>
      <c r="T8" s="1">
        <v>2553.897040274999</v>
      </c>
      <c r="U8" s="1">
        <v>2574.8583717499996</v>
      </c>
      <c r="V8" s="1">
        <v>2595.819703225</v>
      </c>
      <c r="W8" s="1">
        <v>2616.7810346999995</v>
      </c>
      <c r="X8" s="1">
        <v>2637.7423661749995</v>
      </c>
      <c r="Y8" s="1">
        <v>2658.70369765</v>
      </c>
      <c r="Z8" s="1">
        <v>2694.9423292749993</v>
      </c>
      <c r="AA8" s="1">
        <v>2715.9036607499997</v>
      </c>
      <c r="AB8" s="1">
        <v>2752.1422923749997</v>
      </c>
      <c r="AC8" s="1">
        <v>2773.1036238499996</v>
      </c>
      <c r="AD8" s="1">
        <v>2794.0571368499996</v>
      </c>
      <c r="AE8" s="1">
        <v>2815.0184683249995</v>
      </c>
      <c r="AF8" s="1">
        <v>2835.9797998</v>
      </c>
      <c r="AG8" s="1">
        <v>2856.941131275</v>
      </c>
      <c r="AH8" s="1">
        <v>2877.9024627499994</v>
      </c>
      <c r="AI8" s="1">
        <v>2898.8637942249998</v>
      </c>
      <c r="AJ8" s="1">
        <v>2920.8884382999995</v>
      </c>
      <c r="AK8" s="1">
        <v>2941.849769775</v>
      </c>
      <c r="AL8" s="1">
        <v>2962.8111012499994</v>
      </c>
      <c r="AM8" s="1">
        <v>2983.7724327249994</v>
      </c>
      <c r="AN8" s="1">
        <v>3004.7337641999993</v>
      </c>
      <c r="AO8" s="1">
        <v>3025.6950956749993</v>
      </c>
      <c r="AP8" s="1">
        <v>3046.6564271499997</v>
      </c>
      <c r="AQ8" s="1">
        <v>3067.6177586249996</v>
      </c>
      <c r="AR8" s="1">
        <v>3088.5712716249996</v>
      </c>
      <c r="AS8" s="1">
        <v>3109.5326030999995</v>
      </c>
      <c r="AT8" s="1">
        <v>3130.4939345749995</v>
      </c>
      <c r="AU8" s="1">
        <v>3151.45526605</v>
      </c>
      <c r="AV8" s="1">
        <v>3172.416597525</v>
      </c>
      <c r="AW8" s="1">
        <v>3193.3779289999998</v>
      </c>
      <c r="AX8" s="1">
        <v>3214.3392604749993</v>
      </c>
      <c r="AY8" s="1">
        <v>3235.30059195</v>
      </c>
      <c r="AZ8" s="1">
        <v>3256.2619234249996</v>
      </c>
      <c r="BA8" s="1">
        <v>3277.2232548999996</v>
      </c>
      <c r="BB8" s="1">
        <v>3299.2478989749998</v>
      </c>
      <c r="BC8" s="1">
        <v>3320.2092304499993</v>
      </c>
      <c r="BD8" s="1">
        <v>3341.170561925</v>
      </c>
      <c r="BE8" s="1">
        <v>3362.124074924999</v>
      </c>
      <c r="BF8" s="1">
        <v>3383.085406399999</v>
      </c>
      <c r="BG8" s="1">
        <v>3404.046737875</v>
      </c>
      <c r="BH8" s="1">
        <v>3425.0080693499995</v>
      </c>
      <c r="BI8" s="1">
        <v>3445.9694008249994</v>
      </c>
      <c r="BJ8" s="1">
        <v>3466.9307323</v>
      </c>
      <c r="BK8" s="1">
        <v>3487.8920637749998</v>
      </c>
      <c r="BL8" s="1">
        <v>3508.8533952499993</v>
      </c>
      <c r="BM8" s="1">
        <v>3529.814726724999</v>
      </c>
      <c r="BN8" s="1">
        <v>3550.7760582</v>
      </c>
      <c r="BO8" s="1">
        <v>3571.7373896749996</v>
      </c>
      <c r="BP8" s="1">
        <v>3592.6987211499995</v>
      </c>
      <c r="BQ8" s="1">
        <v>3613.6600526249995</v>
      </c>
      <c r="BR8" s="1">
        <v>3634.6213841</v>
      </c>
      <c r="BS8" s="1">
        <v>3655.582715574999</v>
      </c>
      <c r="BT8" s="1">
        <v>3677.6073596499996</v>
      </c>
      <c r="BU8" s="1">
        <v>3698.560872649999</v>
      </c>
      <c r="BV8" s="1">
        <v>3719.522204125</v>
      </c>
    </row>
    <row r="9" ht="15.75" customHeight="1">
      <c r="A9" s="1" t="str">
        <f>'(patio_costs)'!A32</f>
        <v>2600</v>
      </c>
      <c r="B9" s="1">
        <v>2223.378828125</v>
      </c>
      <c r="C9" s="1">
        <v>2244.332341125</v>
      </c>
      <c r="D9" s="1">
        <v>2265.2936726</v>
      </c>
      <c r="E9" s="1">
        <v>2286.2550040749998</v>
      </c>
      <c r="F9" s="1">
        <v>2307.2163355499997</v>
      </c>
      <c r="G9" s="1">
        <v>2328.1776670249997</v>
      </c>
      <c r="H9" s="1">
        <v>2349.1389984999996</v>
      </c>
      <c r="I9" s="1">
        <v>2370.1003299749996</v>
      </c>
      <c r="J9" s="1">
        <v>2391.0616614499995</v>
      </c>
      <c r="K9" s="1">
        <v>2412.0229929249995</v>
      </c>
      <c r="L9" s="1">
        <v>2432.9843244</v>
      </c>
      <c r="M9" s="1">
        <v>2453.945655875</v>
      </c>
      <c r="N9" s="1">
        <v>2474.90698735</v>
      </c>
      <c r="O9" s="1">
        <v>2495.8683188249997</v>
      </c>
      <c r="P9" s="1">
        <v>2516.8218318249997</v>
      </c>
      <c r="Q9" s="1">
        <v>2537.7909817749996</v>
      </c>
      <c r="R9" s="1">
        <v>2559.807807375</v>
      </c>
      <c r="S9" s="1">
        <v>2580.7691388499998</v>
      </c>
      <c r="T9" s="1">
        <v>2601.7304703249997</v>
      </c>
      <c r="U9" s="1">
        <v>2622.6918017999997</v>
      </c>
      <c r="V9" s="1">
        <v>2643.6531332749996</v>
      </c>
      <c r="W9" s="1">
        <v>2664.6144647499996</v>
      </c>
      <c r="X9" s="1">
        <v>2700.8530963749995</v>
      </c>
      <c r="Y9" s="1">
        <v>2721.81442785</v>
      </c>
      <c r="Z9" s="1">
        <v>2758.053059475</v>
      </c>
      <c r="AA9" s="1">
        <v>2779.01439095</v>
      </c>
      <c r="AB9" s="1">
        <v>2799.9757224249993</v>
      </c>
      <c r="AC9" s="1">
        <v>2820.9370538999997</v>
      </c>
      <c r="AD9" s="1">
        <v>2841.8983853749996</v>
      </c>
      <c r="AE9" s="1">
        <v>2862.8518983749996</v>
      </c>
      <c r="AF9" s="1">
        <v>2883.8210483249995</v>
      </c>
      <c r="AG9" s="1">
        <v>2904.7745613249995</v>
      </c>
      <c r="AH9" s="1">
        <v>2925.7358927999994</v>
      </c>
      <c r="AI9" s="1">
        <v>2946.6972242749994</v>
      </c>
      <c r="AJ9" s="1">
        <v>2968.7218683499996</v>
      </c>
      <c r="AK9" s="1">
        <v>2989.6831998249995</v>
      </c>
      <c r="AL9" s="1">
        <v>3010.6445312999995</v>
      </c>
      <c r="AM9" s="1">
        <v>3031.6058627749994</v>
      </c>
      <c r="AN9" s="1">
        <v>3052.56719425</v>
      </c>
      <c r="AO9" s="1">
        <v>3073.528525725</v>
      </c>
      <c r="AP9" s="1">
        <v>3094.4898571999997</v>
      </c>
      <c r="AQ9" s="1">
        <v>3115.4511886749997</v>
      </c>
      <c r="AR9" s="1">
        <v>3136.4125201499996</v>
      </c>
      <c r="AS9" s="1">
        <v>3157.373851624999</v>
      </c>
      <c r="AT9" s="1">
        <v>3178.3351830999995</v>
      </c>
      <c r="AU9" s="1">
        <v>3199.2886961</v>
      </c>
      <c r="AV9" s="1">
        <v>3220.250027575</v>
      </c>
      <c r="AW9" s="1">
        <v>3241.2113590499994</v>
      </c>
      <c r="AX9" s="1">
        <v>3262.1726905250002</v>
      </c>
      <c r="AY9" s="1">
        <v>3283.1340219999993</v>
      </c>
      <c r="AZ9" s="1">
        <v>3304.0953534749997</v>
      </c>
      <c r="BA9" s="1">
        <v>3325.056684949999</v>
      </c>
      <c r="BB9" s="1">
        <v>3347.0813290249994</v>
      </c>
      <c r="BC9" s="1">
        <v>3368.0426604999993</v>
      </c>
      <c r="BD9" s="1">
        <v>3389.0039919749997</v>
      </c>
      <c r="BE9" s="1">
        <v>3409.9653234499997</v>
      </c>
      <c r="BF9" s="1">
        <v>3430.926654924999</v>
      </c>
      <c r="BG9" s="1">
        <v>3451.8879863999996</v>
      </c>
      <c r="BH9" s="1">
        <v>3472.849317875</v>
      </c>
      <c r="BI9" s="1">
        <v>3493.8106493499995</v>
      </c>
      <c r="BJ9" s="1">
        <v>3514.7719808249994</v>
      </c>
      <c r="BK9" s="1">
        <v>3535.725493825</v>
      </c>
      <c r="BL9" s="1">
        <v>3556.6868252999993</v>
      </c>
      <c r="BM9" s="1">
        <v>3577.648156775</v>
      </c>
      <c r="BN9" s="1">
        <v>3598.6094882499997</v>
      </c>
      <c r="BO9" s="1">
        <v>3619.5708197249996</v>
      </c>
      <c r="BP9" s="1">
        <v>3640.532151199999</v>
      </c>
      <c r="BQ9" s="1">
        <v>3661.4934826749995</v>
      </c>
      <c r="BR9" s="1">
        <v>3682.454814149999</v>
      </c>
      <c r="BS9" s="1">
        <v>3703.4161456249994</v>
      </c>
      <c r="BT9" s="1">
        <v>3725.4407896999996</v>
      </c>
      <c r="BU9" s="1">
        <v>3746.402121174999</v>
      </c>
      <c r="BV9" s="1">
        <v>3767.3634526499995</v>
      </c>
    </row>
    <row r="10" ht="15.75" customHeight="1">
      <c r="A10" s="1" t="str">
        <f>'(patio_costs)'!A33</f>
        <v>2700</v>
      </c>
      <c r="B10" s="1">
        <v>2271.2122581749995</v>
      </c>
      <c r="C10" s="1">
        <v>2292.1735896499995</v>
      </c>
      <c r="D10" s="1">
        <v>2313.134921125</v>
      </c>
      <c r="E10" s="1">
        <v>2334.0962526</v>
      </c>
      <c r="F10" s="1">
        <v>2355.057584075</v>
      </c>
      <c r="G10" s="1">
        <v>2376.0110970749993</v>
      </c>
      <c r="H10" s="1">
        <v>2396.97242855</v>
      </c>
      <c r="I10" s="1">
        <v>2417.9337600249996</v>
      </c>
      <c r="J10" s="1">
        <v>2438.8950914999996</v>
      </c>
      <c r="K10" s="1">
        <v>2459.856422975</v>
      </c>
      <c r="L10" s="1">
        <v>2480.8177544499995</v>
      </c>
      <c r="M10" s="1">
        <v>2501.779085925</v>
      </c>
      <c r="N10" s="1">
        <v>2522.7404173999994</v>
      </c>
      <c r="O10" s="1">
        <v>2543.7017488749993</v>
      </c>
      <c r="P10" s="1">
        <v>2564.6630803499997</v>
      </c>
      <c r="Q10" s="1">
        <v>2585.6244118249997</v>
      </c>
      <c r="R10" s="1">
        <v>2607.6490558999994</v>
      </c>
      <c r="S10" s="1">
        <v>2628.610387375</v>
      </c>
      <c r="T10" s="1">
        <v>2649.57171885</v>
      </c>
      <c r="U10" s="1">
        <v>2670.5252318499993</v>
      </c>
      <c r="V10" s="1">
        <v>2706.7716819499997</v>
      </c>
      <c r="W10" s="1">
        <v>2727.72519495</v>
      </c>
      <c r="X10" s="1">
        <v>2763.9638265749995</v>
      </c>
      <c r="Y10" s="1">
        <v>2784.9251580499995</v>
      </c>
      <c r="Z10" s="1">
        <v>2805.8864895249994</v>
      </c>
      <c r="AA10" s="1">
        <v>2826.8478209999994</v>
      </c>
      <c r="AB10" s="1">
        <v>2847.809152475</v>
      </c>
      <c r="AC10" s="1">
        <v>2868.7704839499993</v>
      </c>
      <c r="AD10" s="1">
        <v>2889.7318154249997</v>
      </c>
      <c r="AE10" s="1">
        <v>2910.6931468999996</v>
      </c>
      <c r="AF10" s="1">
        <v>2931.6544783749996</v>
      </c>
      <c r="AG10" s="1">
        <v>2952.6158098499996</v>
      </c>
      <c r="AH10" s="1">
        <v>2973.5771413249995</v>
      </c>
      <c r="AI10" s="1">
        <v>2994.5384727999995</v>
      </c>
      <c r="AJ10" s="1">
        <v>3016.5631168749997</v>
      </c>
      <c r="AK10" s="1">
        <v>3037.5244483499996</v>
      </c>
      <c r="AL10" s="1">
        <v>3058.47796135</v>
      </c>
      <c r="AM10" s="1">
        <v>3079.4392928249995</v>
      </c>
      <c r="AN10" s="1">
        <v>3100.4006242999994</v>
      </c>
      <c r="AO10" s="1">
        <v>3121.361955775</v>
      </c>
      <c r="AP10" s="1">
        <v>3142.32328725</v>
      </c>
      <c r="AQ10" s="1">
        <v>3163.2846187249993</v>
      </c>
      <c r="AR10" s="1">
        <v>3184.2459501999992</v>
      </c>
      <c r="AS10" s="1">
        <v>3205.207281674999</v>
      </c>
      <c r="AT10" s="1">
        <v>3226.1686131499996</v>
      </c>
      <c r="AU10" s="1">
        <v>3247.1299446249996</v>
      </c>
      <c r="AV10" s="1">
        <v>3268.0912760999995</v>
      </c>
      <c r="AW10" s="1">
        <v>3289.052607575</v>
      </c>
      <c r="AX10" s="1">
        <v>3310.013939049999</v>
      </c>
      <c r="AY10" s="1">
        <v>3330.975270525</v>
      </c>
      <c r="AZ10" s="1">
        <v>3351.928783524999</v>
      </c>
      <c r="BA10" s="1">
        <v>3372.8901149999997</v>
      </c>
      <c r="BB10" s="1">
        <v>3394.9147590749994</v>
      </c>
      <c r="BC10" s="1">
        <v>3415.876090549999</v>
      </c>
      <c r="BD10" s="1">
        <v>3436.837422025</v>
      </c>
      <c r="BE10" s="1">
        <v>3457.7987534999997</v>
      </c>
      <c r="BF10" s="1">
        <v>3478.7600849749992</v>
      </c>
      <c r="BG10" s="1">
        <v>3499.72141645</v>
      </c>
      <c r="BH10" s="1">
        <v>3520.682747924999</v>
      </c>
      <c r="BI10" s="1">
        <v>3541.6440793999996</v>
      </c>
      <c r="BJ10" s="1">
        <v>3562.6054108749995</v>
      </c>
      <c r="BK10" s="1">
        <v>3583.5667423499995</v>
      </c>
      <c r="BL10" s="1">
        <v>3604.528073825</v>
      </c>
      <c r="BM10" s="1">
        <v>3625.489405299999</v>
      </c>
      <c r="BN10" s="1">
        <v>3646.4429182999997</v>
      </c>
      <c r="BO10" s="1">
        <v>3667.4042497749992</v>
      </c>
      <c r="BP10" s="1">
        <v>3688.3655812499997</v>
      </c>
      <c r="BQ10" s="1">
        <v>3709.326912725</v>
      </c>
      <c r="BR10" s="1">
        <v>3730.288244199999</v>
      </c>
      <c r="BS10" s="1">
        <v>3751.2495756749995</v>
      </c>
      <c r="BT10" s="1">
        <v>3773.2742197499997</v>
      </c>
      <c r="BU10" s="1">
        <v>3765.5261110249994</v>
      </c>
      <c r="BV10" s="1">
        <v>3786.4874424999994</v>
      </c>
    </row>
    <row r="11" ht="15.75" customHeight="1">
      <c r="B11" s="1" t="s">
        <v>746</v>
      </c>
      <c r="C11" s="1" t="s">
        <v>746</v>
      </c>
      <c r="D11" s="1" t="s">
        <v>746</v>
      </c>
      <c r="E11" s="1" t="s">
        <v>746</v>
      </c>
      <c r="F11" s="1" t="s">
        <v>746</v>
      </c>
      <c r="G11" s="1" t="s">
        <v>746</v>
      </c>
      <c r="H11" s="1" t="s">
        <v>746</v>
      </c>
      <c r="I11" s="1" t="s">
        <v>746</v>
      </c>
      <c r="J11" s="1" t="s">
        <v>746</v>
      </c>
      <c r="K11" s="1" t="s">
        <v>746</v>
      </c>
      <c r="L11" s="1" t="s">
        <v>746</v>
      </c>
      <c r="M11" s="1" t="s">
        <v>746</v>
      </c>
      <c r="N11" s="1" t="s">
        <v>746</v>
      </c>
      <c r="O11" s="1" t="s">
        <v>746</v>
      </c>
      <c r="P11" s="1" t="s">
        <v>746</v>
      </c>
      <c r="Q11" s="1" t="s">
        <v>746</v>
      </c>
      <c r="R11" s="1" t="s">
        <v>746</v>
      </c>
      <c r="S11" s="1" t="s">
        <v>746</v>
      </c>
      <c r="T11" s="1" t="s">
        <v>746</v>
      </c>
      <c r="U11" s="1" t="s">
        <v>746</v>
      </c>
      <c r="V11" s="1" t="s">
        <v>746</v>
      </c>
      <c r="W11" s="1" t="s">
        <v>746</v>
      </c>
      <c r="X11" s="1" t="s">
        <v>746</v>
      </c>
      <c r="Y11" s="1" t="s">
        <v>746</v>
      </c>
      <c r="Z11" s="1" t="s">
        <v>746</v>
      </c>
      <c r="AA11" s="1" t="s">
        <v>746</v>
      </c>
      <c r="AB11" s="1" t="s">
        <v>746</v>
      </c>
      <c r="AC11" s="1" t="s">
        <v>746</v>
      </c>
      <c r="AD11" s="1" t="s">
        <v>746</v>
      </c>
      <c r="AE11" s="1" t="s">
        <v>746</v>
      </c>
      <c r="AF11" s="1" t="s">
        <v>746</v>
      </c>
      <c r="AG11" s="1" t="s">
        <v>746</v>
      </c>
      <c r="AH11" s="1" t="s">
        <v>746</v>
      </c>
      <c r="AI11" s="1" t="s">
        <v>746</v>
      </c>
      <c r="AJ11" s="1" t="s">
        <v>746</v>
      </c>
      <c r="AK11" s="1" t="s">
        <v>746</v>
      </c>
      <c r="AL11" s="1" t="s">
        <v>746</v>
      </c>
      <c r="AM11" s="1" t="s">
        <v>746</v>
      </c>
      <c r="AN11" s="1" t="s">
        <v>746</v>
      </c>
      <c r="AO11" s="1" t="s">
        <v>746</v>
      </c>
      <c r="AP11" s="1" t="s">
        <v>746</v>
      </c>
      <c r="AQ11" s="1" t="s">
        <v>746</v>
      </c>
      <c r="AR11" s="1" t="s">
        <v>746</v>
      </c>
      <c r="AS11" s="1" t="s">
        <v>746</v>
      </c>
      <c r="AT11" s="1" t="s">
        <v>746</v>
      </c>
      <c r="AU11" s="1" t="s">
        <v>746</v>
      </c>
      <c r="AV11" s="1" t="s">
        <v>746</v>
      </c>
      <c r="AW11" s="1" t="s">
        <v>746</v>
      </c>
      <c r="AX11" s="1" t="s">
        <v>746</v>
      </c>
      <c r="AY11" s="1" t="s">
        <v>746</v>
      </c>
      <c r="AZ11" s="1" t="s">
        <v>746</v>
      </c>
      <c r="BA11" s="1" t="s">
        <v>746</v>
      </c>
      <c r="BB11" s="1" t="s">
        <v>746</v>
      </c>
      <c r="BC11" s="1" t="s">
        <v>746</v>
      </c>
      <c r="BD11" s="1" t="s">
        <v>746</v>
      </c>
      <c r="BE11" s="1" t="s">
        <v>746</v>
      </c>
      <c r="BF11" s="1" t="s">
        <v>746</v>
      </c>
      <c r="BG11" s="1" t="s">
        <v>746</v>
      </c>
      <c r="BH11" s="1" t="s">
        <v>746</v>
      </c>
      <c r="BI11" s="1" t="s">
        <v>746</v>
      </c>
      <c r="BJ11" s="1" t="s">
        <v>746</v>
      </c>
      <c r="BK11" s="1" t="s">
        <v>746</v>
      </c>
      <c r="BL11" s="1" t="s">
        <v>746</v>
      </c>
      <c r="BM11" s="1" t="s">
        <v>746</v>
      </c>
      <c r="BN11" s="1" t="s">
        <v>746</v>
      </c>
      <c r="BO11" s="1" t="s">
        <v>746</v>
      </c>
      <c r="BP11" s="1" t="s">
        <v>746</v>
      </c>
      <c r="BQ11" s="1" t="s">
        <v>746</v>
      </c>
      <c r="BR11" s="1" t="s">
        <v>746</v>
      </c>
      <c r="BS11" s="1" t="s">
        <v>746</v>
      </c>
      <c r="BT11" s="1" t="s">
        <v>746</v>
      </c>
      <c r="BU11" s="1" t="s">
        <v>746</v>
      </c>
      <c r="BV11" s="1" t="s">
        <v>746</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37" width="12.57"/>
  </cols>
  <sheetData>
    <row r="1" ht="15.75" customHeight="1">
      <c r="A1" s="1" t="s">
        <v>15</v>
      </c>
      <c r="B1" s="1" t="s">
        <v>745</v>
      </c>
      <c r="C1" s="1" t="s">
        <v>747</v>
      </c>
    </row>
    <row r="2" ht="15.75" customHeight="1">
      <c r="A2" s="1" t="str">
        <f>'(patio_costs)'!A3</f>
        <v/>
      </c>
      <c r="B2" s="1" t="str">
        <f>'(patio_costs)'!B3</f>
        <v>1500</v>
      </c>
      <c r="C2" s="1" t="str">
        <f>'(patio_costs)'!C3</f>
        <v>1600</v>
      </c>
      <c r="D2" s="1" t="str">
        <f>'(patio_costs)'!D3</f>
        <v>1700</v>
      </c>
      <c r="E2" s="1" t="str">
        <f>'(patio_costs)'!E3</f>
        <v>1800</v>
      </c>
      <c r="F2" s="1" t="str">
        <f>'(patio_costs)'!F3</f>
        <v>1900</v>
      </c>
      <c r="G2" s="1" t="str">
        <f>'(patio_costs)'!G3</f>
        <v>2000</v>
      </c>
      <c r="H2" s="1" t="str">
        <f>'(patio_costs)'!H3</f>
        <v>2100</v>
      </c>
      <c r="I2" s="1" t="str">
        <f>'(patio_costs)'!I3</f>
        <v>2200</v>
      </c>
      <c r="J2" s="1" t="str">
        <f>'(patio_costs)'!J3</f>
        <v>2300</v>
      </c>
      <c r="K2" s="1" t="str">
        <f>'(patio_costs)'!K3</f>
        <v>2400</v>
      </c>
      <c r="L2" s="1" t="str">
        <f>'(patio_costs)'!L3</f>
        <v>2500</v>
      </c>
      <c r="M2" s="1" t="str">
        <f>'(patio_costs)'!M3</f>
        <v>2600</v>
      </c>
      <c r="N2" s="1" t="str">
        <f>'(patio_costs)'!N3</f>
        <v>2700</v>
      </c>
      <c r="O2" s="1" t="str">
        <f>'(patio_costs)'!O3</f>
        <v>2800</v>
      </c>
      <c r="P2" s="1" t="str">
        <f>'(patio_costs)'!P3</f>
        <v>2900</v>
      </c>
      <c r="Q2" s="1" t="str">
        <f>'(patio_costs)'!Q3</f>
        <v>3000</v>
      </c>
      <c r="R2" s="1" t="str">
        <f>'(patio_costs)'!R3</f>
        <v>3100</v>
      </c>
      <c r="S2" s="1" t="str">
        <f>'(patio_costs)'!S3</f>
        <v>3200</v>
      </c>
      <c r="T2" s="1" t="str">
        <f>'(patio_costs)'!T3</f>
        <v>3300</v>
      </c>
      <c r="U2" s="1" t="str">
        <f>'(patio_costs)'!U3</f>
        <v>3400</v>
      </c>
      <c r="V2" s="1" t="str">
        <f>'(patio_costs)'!V3</f>
        <v>3500</v>
      </c>
      <c r="W2" s="1" t="str">
        <f>'(patio_costs)'!W3</f>
        <v>3600</v>
      </c>
      <c r="X2" s="1" t="str">
        <f>'(patio_costs)'!X3</f>
        <v>3700</v>
      </c>
      <c r="Y2" s="1" t="str">
        <f>'(patio_costs)'!Y3</f>
        <v>3800</v>
      </c>
      <c r="Z2" s="1" t="str">
        <f>'(patio_costs)'!Z3</f>
        <v>3900</v>
      </c>
      <c r="AA2" s="1" t="str">
        <f>'(patio_costs)'!AA3</f>
        <v>4000</v>
      </c>
      <c r="AB2" s="1" t="str">
        <f>'(patio_costs)'!AB3</f>
        <v>4100</v>
      </c>
      <c r="AC2" s="1" t="str">
        <f>'(patio_costs)'!AC3</f>
        <v>4200</v>
      </c>
      <c r="AD2" s="1" t="str">
        <f>'(patio_costs)'!AD3</f>
        <v>4300</v>
      </c>
      <c r="AE2" s="1" t="str">
        <f>'(patio_costs)'!AE3</f>
        <v>4400</v>
      </c>
      <c r="AF2" s="1" t="str">
        <f>'(patio_costs)'!AF3</f>
        <v>4500</v>
      </c>
      <c r="AG2" s="1" t="str">
        <f>'(patio_costs)'!AG3</f>
        <v>4600</v>
      </c>
      <c r="AH2" s="1" t="str">
        <f>'(patio_costs)'!AH3</f>
        <v>4700</v>
      </c>
      <c r="AI2" s="1" t="str">
        <f>'(patio_costs)'!AI3</f>
        <v>4800</v>
      </c>
      <c r="AJ2" s="1" t="str">
        <f>'(patio_costs)'!AJ3</f>
        <v>4900</v>
      </c>
      <c r="AK2" s="1" t="str">
        <f>'(patio_costs)'!AK3</f>
        <v>5000</v>
      </c>
    </row>
    <row r="3" ht="15.75" customHeight="1">
      <c r="A3" s="1" t="str">
        <f>'(patio_costs)'!A4</f>
        <v>2000</v>
      </c>
      <c r="B3" s="1" t="str">
        <f t="array" ref="B3:AK10">'(patio_costs)'!B4:AK11*(1+MARKUP!$Z$6)</f>
        <v>1110.755106</v>
      </c>
      <c r="C3" s="1">
        <v>1131.7164377749998</v>
      </c>
      <c r="D3" s="1">
        <v>1152.6777692499998</v>
      </c>
      <c r="E3" s="1">
        <v>1173.6391007249997</v>
      </c>
      <c r="F3" s="1">
        <v>1194.6004322</v>
      </c>
      <c r="G3" s="1">
        <v>1215.5617636749998</v>
      </c>
      <c r="H3" s="1">
        <v>1236.5230951499998</v>
      </c>
      <c r="I3" s="1">
        <v>1257.4844266249997</v>
      </c>
      <c r="J3" s="1">
        <v>1278.9774143999998</v>
      </c>
      <c r="K3" s="1">
        <v>1299.9387458749998</v>
      </c>
      <c r="L3" s="1">
        <v>1320.9000773499997</v>
      </c>
      <c r="M3" s="1">
        <v>1341.8614088249997</v>
      </c>
      <c r="N3" s="1">
        <v>1362.8227402999999</v>
      </c>
      <c r="O3" s="1">
        <v>1383.7840717749998</v>
      </c>
      <c r="P3" s="1">
        <v>1404.737584775</v>
      </c>
      <c r="Q3" s="1">
        <v>1425.6989162499997</v>
      </c>
      <c r="R3" s="1">
        <v>1446.6602477249996</v>
      </c>
      <c r="S3" s="1">
        <v>1468.1532354999997</v>
      </c>
      <c r="T3" s="1">
        <v>1489.1145669749997</v>
      </c>
      <c r="U3" s="1">
        <v>1510.0758984499998</v>
      </c>
      <c r="V3" s="1">
        <v>1546.3145300749998</v>
      </c>
      <c r="W3" s="1">
        <v>1567.2758615499995</v>
      </c>
      <c r="X3" s="1">
        <v>1588.2371930249997</v>
      </c>
      <c r="Y3" s="1">
        <v>1609.1985244999998</v>
      </c>
      <c r="Z3" s="1">
        <v>1630.1598559749998</v>
      </c>
      <c r="AA3" s="1">
        <v>1651.12118745</v>
      </c>
      <c r="AB3" s="1">
        <v>1672.6141752249998</v>
      </c>
      <c r="AC3" s="1">
        <v>1693.5755066999996</v>
      </c>
      <c r="AD3" s="1">
        <v>1714.5368381749997</v>
      </c>
      <c r="AE3" s="1">
        <v>1735.490351175</v>
      </c>
      <c r="AF3" s="1">
        <v>1756.4516826499996</v>
      </c>
      <c r="AG3" s="1">
        <v>1777.4130141249996</v>
      </c>
      <c r="AH3" s="1">
        <v>1798.3743455999997</v>
      </c>
      <c r="AI3" s="1">
        <v>1819.3356770749995</v>
      </c>
      <c r="AJ3" s="1">
        <v>1840.2970085499999</v>
      </c>
      <c r="AK3" s="1">
        <v>1861.7899963249997</v>
      </c>
    </row>
    <row r="4" ht="15.75" customHeight="1">
      <c r="A4" s="1" t="str">
        <f>'(patio_costs)'!A5</f>
        <v>2100</v>
      </c>
      <c r="B4" s="1">
        <v>1139.4098171749997</v>
      </c>
      <c r="C4" s="1">
        <v>1160.37114865</v>
      </c>
      <c r="D4" s="1">
        <v>1181.3324801249998</v>
      </c>
      <c r="E4" s="1">
        <v>1202.2938115999998</v>
      </c>
      <c r="F4" s="1">
        <v>1223.2551430749998</v>
      </c>
      <c r="G4" s="1">
        <v>1244.21647455</v>
      </c>
      <c r="H4" s="1">
        <v>1265.1778060249999</v>
      </c>
      <c r="I4" s="1">
        <v>1286.1391374999998</v>
      </c>
      <c r="J4" s="1">
        <v>1307.6321252749997</v>
      </c>
      <c r="K4" s="1">
        <v>1328.5934567499996</v>
      </c>
      <c r="L4" s="1">
        <v>1349.5547882249998</v>
      </c>
      <c r="M4" s="1">
        <v>1370.5161196999998</v>
      </c>
      <c r="N4" s="1">
        <v>1391.4696327</v>
      </c>
      <c r="O4" s="1">
        <v>1412.4309641749999</v>
      </c>
      <c r="P4" s="1">
        <v>1433.3922956499996</v>
      </c>
      <c r="Q4" s="1">
        <v>1454.353627125</v>
      </c>
      <c r="R4" s="1">
        <v>1475.3149586</v>
      </c>
      <c r="S4" s="1">
        <v>1496.8079463749998</v>
      </c>
      <c r="T4" s="1">
        <v>1533.0465779999997</v>
      </c>
      <c r="U4" s="1">
        <v>1554.0079094749997</v>
      </c>
      <c r="V4" s="1">
        <v>1574.9692409499999</v>
      </c>
      <c r="W4" s="1">
        <v>1595.9305724249998</v>
      </c>
      <c r="X4" s="1">
        <v>1616.8919038999998</v>
      </c>
      <c r="Y4" s="1">
        <v>1637.8532353749997</v>
      </c>
      <c r="Z4" s="1">
        <v>1658.8145668499994</v>
      </c>
      <c r="AA4" s="1">
        <v>1679.7758983249996</v>
      </c>
      <c r="AB4" s="1">
        <v>1701.2688861</v>
      </c>
      <c r="AC4" s="1">
        <v>1722.2223991</v>
      </c>
      <c r="AD4" s="1">
        <v>1743.1837305749998</v>
      </c>
      <c r="AE4" s="1">
        <v>1764.1450620499998</v>
      </c>
      <c r="AF4" s="1">
        <v>1785.106393525</v>
      </c>
      <c r="AG4" s="1">
        <v>1806.0677249999997</v>
      </c>
      <c r="AH4" s="1">
        <v>1827.0290564749998</v>
      </c>
      <c r="AI4" s="1">
        <v>1847.9903879499998</v>
      </c>
      <c r="AJ4" s="1">
        <v>1868.9517194249995</v>
      </c>
      <c r="AK4" s="1">
        <v>1890.4447071999998</v>
      </c>
    </row>
    <row r="5" ht="15.75" customHeight="1">
      <c r="A5" s="1" t="str">
        <f>'(patio_costs)'!A6</f>
        <v>2200</v>
      </c>
      <c r="B5" s="1">
        <v>1168.06452805</v>
      </c>
      <c r="C5" s="1">
        <v>1189.0258595249998</v>
      </c>
      <c r="D5" s="1">
        <v>1209.9871909999997</v>
      </c>
      <c r="E5" s="1">
        <v>1230.948522475</v>
      </c>
      <c r="F5" s="1">
        <v>1251.9098539499998</v>
      </c>
      <c r="G5" s="1">
        <v>1272.8711854249998</v>
      </c>
      <c r="H5" s="1">
        <v>1293.8325168999997</v>
      </c>
      <c r="I5" s="1">
        <v>1314.793848375</v>
      </c>
      <c r="J5" s="1">
        <v>1336.28683615</v>
      </c>
      <c r="K5" s="1">
        <v>1357.248167625</v>
      </c>
      <c r="L5" s="1">
        <v>1378.2016806249999</v>
      </c>
      <c r="M5" s="1">
        <v>1399.1630120999998</v>
      </c>
      <c r="N5" s="1">
        <v>1420.1243435749996</v>
      </c>
      <c r="O5" s="1">
        <v>1441.08567505</v>
      </c>
      <c r="P5" s="1">
        <v>1462.047006525</v>
      </c>
      <c r="Q5" s="1">
        <v>1483.0083379999999</v>
      </c>
      <c r="R5" s="1">
        <v>1503.9696694749996</v>
      </c>
      <c r="S5" s="1">
        <v>1540.7399573999999</v>
      </c>
      <c r="T5" s="1">
        <v>1561.701288875</v>
      </c>
      <c r="U5" s="1">
        <v>1582.6626203499998</v>
      </c>
      <c r="V5" s="1">
        <v>1603.6239518249997</v>
      </c>
      <c r="W5" s="1">
        <v>1624.5852833</v>
      </c>
      <c r="X5" s="1">
        <v>1645.5466147749996</v>
      </c>
      <c r="Y5" s="1">
        <v>1666.5079462499998</v>
      </c>
      <c r="Z5" s="1">
        <v>1687.4692777249998</v>
      </c>
      <c r="AA5" s="1">
        <v>1708.422790725</v>
      </c>
      <c r="AB5" s="1">
        <v>1729.9157784999995</v>
      </c>
      <c r="AC5" s="1">
        <v>1750.8771099749997</v>
      </c>
      <c r="AD5" s="1">
        <v>1771.8384414499997</v>
      </c>
      <c r="AE5" s="1">
        <v>1792.7997729249998</v>
      </c>
      <c r="AF5" s="1">
        <v>1813.7611043999998</v>
      </c>
      <c r="AG5" s="1">
        <v>1834.722435875</v>
      </c>
      <c r="AH5" s="1">
        <v>1855.6837673499997</v>
      </c>
      <c r="AI5" s="1">
        <v>1876.6450988249999</v>
      </c>
      <c r="AJ5" s="1">
        <v>1897.6064302999996</v>
      </c>
      <c r="AK5" s="1">
        <v>1919.0994180749997</v>
      </c>
    </row>
    <row r="6" ht="15.75" customHeight="1">
      <c r="A6" s="1" t="str">
        <f>'(patio_costs)'!A7</f>
        <v>2300</v>
      </c>
      <c r="B6" s="1">
        <v>1196.719238925</v>
      </c>
      <c r="C6" s="1">
        <v>1217.6805703999999</v>
      </c>
      <c r="D6" s="1">
        <v>1238.6419018749998</v>
      </c>
      <c r="E6" s="1">
        <v>1259.6032333499998</v>
      </c>
      <c r="F6" s="1">
        <v>1280.5645648249997</v>
      </c>
      <c r="G6" s="1">
        <v>1301.5258962999999</v>
      </c>
      <c r="H6" s="1">
        <v>1322.4872277749998</v>
      </c>
      <c r="I6" s="1">
        <v>1343.4485592499998</v>
      </c>
      <c r="J6" s="1">
        <v>1364.9337285499998</v>
      </c>
      <c r="K6" s="1">
        <v>1385.8950600249998</v>
      </c>
      <c r="L6" s="1">
        <v>1406.8563914999997</v>
      </c>
      <c r="M6" s="1">
        <v>1427.817722975</v>
      </c>
      <c r="N6" s="1">
        <v>1448.7790544499999</v>
      </c>
      <c r="O6" s="1">
        <v>1469.7403859249998</v>
      </c>
      <c r="P6" s="1">
        <v>1490.7017173999998</v>
      </c>
      <c r="Q6" s="1">
        <v>1526.9403490249997</v>
      </c>
      <c r="R6" s="1">
        <v>1547.9016804999997</v>
      </c>
      <c r="S6" s="1">
        <v>1569.394668275</v>
      </c>
      <c r="T6" s="1">
        <v>1590.3559997499997</v>
      </c>
      <c r="U6" s="1">
        <v>1611.3173312249996</v>
      </c>
      <c r="V6" s="1">
        <v>1632.2786626999994</v>
      </c>
      <c r="W6" s="1">
        <v>1653.239994175</v>
      </c>
      <c r="X6" s="1">
        <v>1674.20132565</v>
      </c>
      <c r="Y6" s="1">
        <v>1695.1548386499999</v>
      </c>
      <c r="Z6" s="1">
        <v>1716.1161701249996</v>
      </c>
      <c r="AA6" s="1">
        <v>1737.0775016</v>
      </c>
      <c r="AB6" s="1">
        <v>1758.5704893749999</v>
      </c>
      <c r="AC6" s="1">
        <v>1779.5318208499996</v>
      </c>
      <c r="AD6" s="1">
        <v>1800.4931523249998</v>
      </c>
      <c r="AE6" s="1">
        <v>1821.4544837999997</v>
      </c>
      <c r="AF6" s="1">
        <v>1842.4158152749994</v>
      </c>
      <c r="AG6" s="1">
        <v>1863.3771467499998</v>
      </c>
      <c r="AH6" s="1">
        <v>1884.3384782249998</v>
      </c>
      <c r="AI6" s="1">
        <v>1905.2998096999997</v>
      </c>
      <c r="AJ6" s="1">
        <v>1926.261141175</v>
      </c>
      <c r="AK6" s="1">
        <v>1947.7541289499993</v>
      </c>
    </row>
    <row r="7" ht="15.75" customHeight="1">
      <c r="A7" s="1" t="str">
        <f>'(patio_costs)'!A8</f>
        <v>2400</v>
      </c>
      <c r="B7" s="1">
        <v>1225.3739497999998</v>
      </c>
      <c r="C7" s="1">
        <v>1246.3352812749997</v>
      </c>
      <c r="D7" s="1">
        <v>1267.29661275</v>
      </c>
      <c r="E7" s="1">
        <v>1288.2579442249998</v>
      </c>
      <c r="F7" s="1">
        <v>1309.2192756999998</v>
      </c>
      <c r="G7" s="1">
        <v>1330.1806071749997</v>
      </c>
      <c r="H7" s="1">
        <v>1351.134120175</v>
      </c>
      <c r="I7" s="1">
        <v>1372.0954516499999</v>
      </c>
      <c r="J7" s="1">
        <v>1393.5884394249997</v>
      </c>
      <c r="K7" s="1">
        <v>1414.5497708999999</v>
      </c>
      <c r="L7" s="1">
        <v>1435.5111023749998</v>
      </c>
      <c r="M7" s="1">
        <v>1456.4724338499998</v>
      </c>
      <c r="N7" s="1">
        <v>1477.4337653249997</v>
      </c>
      <c r="O7" s="1">
        <v>1498.3950968</v>
      </c>
      <c r="P7" s="1">
        <v>1534.6337284249998</v>
      </c>
      <c r="Q7" s="1">
        <v>1555.5950598999998</v>
      </c>
      <c r="R7" s="1">
        <v>1576.556391375</v>
      </c>
      <c r="S7" s="1">
        <v>1598.0493791499998</v>
      </c>
      <c r="T7" s="1">
        <v>1619.010710625</v>
      </c>
      <c r="U7" s="1">
        <v>1639.9720420999997</v>
      </c>
      <c r="V7" s="1">
        <v>1660.9255550999999</v>
      </c>
      <c r="W7" s="1">
        <v>1681.8868865749998</v>
      </c>
      <c r="X7" s="1">
        <v>1702.8482180499996</v>
      </c>
      <c r="Y7" s="1">
        <v>1723.8095495249997</v>
      </c>
      <c r="Z7" s="1">
        <v>1744.770881</v>
      </c>
      <c r="AA7" s="1">
        <v>1765.7322124749996</v>
      </c>
      <c r="AB7" s="1">
        <v>1787.2252002499997</v>
      </c>
      <c r="AC7" s="1">
        <v>1808.186531725</v>
      </c>
      <c r="AD7" s="1">
        <v>1829.1478631999996</v>
      </c>
      <c r="AE7" s="1">
        <v>1850.1091946749998</v>
      </c>
      <c r="AF7" s="1">
        <v>1871.0705261499995</v>
      </c>
      <c r="AG7" s="1">
        <v>1892.0318576249995</v>
      </c>
      <c r="AH7" s="1">
        <v>1912.9931891</v>
      </c>
      <c r="AI7" s="1">
        <v>1933.9545205749998</v>
      </c>
      <c r="AJ7" s="1">
        <v>1954.9158520499998</v>
      </c>
      <c r="AK7" s="1">
        <v>1976.4010213499998</v>
      </c>
    </row>
    <row r="8" ht="15.75" customHeight="1">
      <c r="A8" s="1" t="str">
        <f>'(patio_costs)'!A9</f>
        <v>2500</v>
      </c>
      <c r="B8" s="1">
        <v>1254.0286606749999</v>
      </c>
      <c r="C8" s="1">
        <v>1274.9899921499998</v>
      </c>
      <c r="D8" s="1">
        <v>1295.9513236249998</v>
      </c>
      <c r="E8" s="1">
        <v>1316.9048366249997</v>
      </c>
      <c r="F8" s="1">
        <v>1337.8661680999999</v>
      </c>
      <c r="G8" s="1">
        <v>1358.8274995749998</v>
      </c>
      <c r="H8" s="1">
        <v>1379.7888310499998</v>
      </c>
      <c r="I8" s="1">
        <v>1400.7501625249997</v>
      </c>
      <c r="J8" s="1">
        <v>1422.2431502999998</v>
      </c>
      <c r="K8" s="1">
        <v>1443.2044817749997</v>
      </c>
      <c r="L8" s="1">
        <v>1464.1658132499997</v>
      </c>
      <c r="M8" s="1">
        <v>1485.1271447249999</v>
      </c>
      <c r="N8" s="1">
        <v>1506.0884761999998</v>
      </c>
      <c r="O8" s="1">
        <v>1542.3271078249998</v>
      </c>
      <c r="P8" s="1">
        <v>1563.2884392999997</v>
      </c>
      <c r="Q8" s="1">
        <v>1584.249770775</v>
      </c>
      <c r="R8" s="1">
        <v>1605.2111022499996</v>
      </c>
      <c r="S8" s="1">
        <v>1626.704090025</v>
      </c>
      <c r="T8" s="1">
        <v>1647.6654214999999</v>
      </c>
      <c r="U8" s="1">
        <v>1668.6189344999998</v>
      </c>
      <c r="V8" s="1">
        <v>1689.5802659749997</v>
      </c>
      <c r="W8" s="1">
        <v>1710.54159745</v>
      </c>
      <c r="X8" s="1">
        <v>1731.502928925</v>
      </c>
      <c r="Y8" s="1">
        <v>1752.4642603999998</v>
      </c>
      <c r="Z8" s="1">
        <v>1773.4255918749998</v>
      </c>
      <c r="AA8" s="1">
        <v>1794.3869233499995</v>
      </c>
      <c r="AB8" s="1">
        <v>1815.8799111249998</v>
      </c>
      <c r="AC8" s="1">
        <v>1836.8412426</v>
      </c>
      <c r="AD8" s="1">
        <v>1857.8025740749997</v>
      </c>
      <c r="AE8" s="1">
        <v>1878.7639055499997</v>
      </c>
      <c r="AF8" s="1">
        <v>1899.7252370249998</v>
      </c>
      <c r="AG8" s="1">
        <v>1920.6865684999996</v>
      </c>
      <c r="AH8" s="1">
        <v>1941.6478999749997</v>
      </c>
      <c r="AI8" s="1">
        <v>1962.6092314499995</v>
      </c>
      <c r="AJ8" s="1">
        <v>1983.5627444499996</v>
      </c>
      <c r="AK8" s="1">
        <v>2005.0557322249997</v>
      </c>
    </row>
    <row r="9" ht="15.75" customHeight="1">
      <c r="A9" s="1" t="str">
        <f>'(patio_costs)'!A10</f>
        <v>2600</v>
      </c>
      <c r="B9" s="1">
        <v>1282.6833715499997</v>
      </c>
      <c r="C9" s="1">
        <v>1303.644703025</v>
      </c>
      <c r="D9" s="1">
        <v>1324.5982160249998</v>
      </c>
      <c r="E9" s="1">
        <v>1345.5595474999998</v>
      </c>
      <c r="F9" s="1">
        <v>1366.5208789749997</v>
      </c>
      <c r="G9" s="1">
        <v>1387.4822104499997</v>
      </c>
      <c r="H9" s="1">
        <v>1408.4435419249999</v>
      </c>
      <c r="I9" s="1">
        <v>1429.4048733999998</v>
      </c>
      <c r="J9" s="1">
        <v>1450.8978611749997</v>
      </c>
      <c r="K9" s="1">
        <v>1471.8591926499998</v>
      </c>
      <c r="L9" s="1">
        <v>1492.8205241249998</v>
      </c>
      <c r="M9" s="1">
        <v>1513.7818555999997</v>
      </c>
      <c r="N9" s="1">
        <v>1550.020487225</v>
      </c>
      <c r="O9" s="1">
        <v>1570.9818186999996</v>
      </c>
      <c r="P9" s="1">
        <v>1591.9431501749998</v>
      </c>
      <c r="Q9" s="1">
        <v>1612.9044816499998</v>
      </c>
      <c r="R9" s="1">
        <v>1633.8579946499997</v>
      </c>
      <c r="S9" s="1">
        <v>1655.3509824249998</v>
      </c>
      <c r="T9" s="1">
        <v>1676.3123138999997</v>
      </c>
      <c r="U9" s="1">
        <v>1697.2736453749997</v>
      </c>
      <c r="V9" s="1">
        <v>1718.2349768499998</v>
      </c>
      <c r="W9" s="1">
        <v>1739.1963083249996</v>
      </c>
      <c r="X9" s="1">
        <v>1760.1576398</v>
      </c>
      <c r="Y9" s="1">
        <v>1781.1189712749997</v>
      </c>
      <c r="Z9" s="1">
        <v>1802.0803027499999</v>
      </c>
      <c r="AA9" s="1">
        <v>1823.0416342249998</v>
      </c>
      <c r="AB9" s="1">
        <v>1844.5346219999994</v>
      </c>
      <c r="AC9" s="1">
        <v>1865.4959534749999</v>
      </c>
      <c r="AD9" s="1">
        <v>1886.45728495</v>
      </c>
      <c r="AE9" s="1">
        <v>1907.4186164249998</v>
      </c>
      <c r="AF9" s="1">
        <v>1928.3799478999997</v>
      </c>
      <c r="AG9" s="1">
        <v>1949.3412793749999</v>
      </c>
      <c r="AH9" s="1">
        <v>1970.2947923749996</v>
      </c>
      <c r="AI9" s="1">
        <v>1991.2561238499998</v>
      </c>
      <c r="AJ9" s="1">
        <v>2012.217455325</v>
      </c>
      <c r="AK9" s="1">
        <v>2033.7104430999998</v>
      </c>
    </row>
    <row r="10" ht="15.75" customHeight="1">
      <c r="A10" s="1" t="str">
        <f>'(patio_costs)'!A11</f>
        <v>2700</v>
      </c>
      <c r="B10" s="1">
        <v>1311.3302639499998</v>
      </c>
      <c r="C10" s="1">
        <v>1332.2915954249997</v>
      </c>
      <c r="D10" s="1">
        <v>1353.2529268999997</v>
      </c>
      <c r="E10" s="1">
        <v>1374.2142583749999</v>
      </c>
      <c r="F10" s="1">
        <v>1395.1755898499998</v>
      </c>
      <c r="G10" s="1">
        <v>1416.1369213249998</v>
      </c>
      <c r="H10" s="1">
        <v>1437.0982527999997</v>
      </c>
      <c r="I10" s="1">
        <v>1458.059584275</v>
      </c>
      <c r="J10" s="1">
        <v>1479.55257205</v>
      </c>
      <c r="K10" s="1">
        <v>1500.5139035249997</v>
      </c>
      <c r="L10" s="1">
        <v>1521.4752349999997</v>
      </c>
      <c r="M10" s="1">
        <v>1557.7138666249998</v>
      </c>
      <c r="N10" s="1">
        <v>1578.6751981</v>
      </c>
      <c r="O10" s="1">
        <v>1599.6365295749997</v>
      </c>
      <c r="P10" s="1">
        <v>1620.5900425749999</v>
      </c>
      <c r="Q10" s="1">
        <v>1641.5513740499996</v>
      </c>
      <c r="R10" s="1">
        <v>1662.5127055249995</v>
      </c>
      <c r="S10" s="1">
        <v>1684.0056932999998</v>
      </c>
      <c r="T10" s="1">
        <v>1704.967024775</v>
      </c>
      <c r="U10" s="1">
        <v>1725.9283562499998</v>
      </c>
      <c r="V10" s="1">
        <v>1746.8896877249997</v>
      </c>
      <c r="W10" s="1">
        <v>1767.8510191999994</v>
      </c>
      <c r="X10" s="1">
        <v>1788.8123506749996</v>
      </c>
      <c r="Y10" s="1">
        <v>1809.7736821499998</v>
      </c>
      <c r="Z10" s="1">
        <v>1830.7350136249997</v>
      </c>
      <c r="AA10" s="1">
        <v>1851.6963451</v>
      </c>
      <c r="AB10" s="1">
        <v>1873.1893328749998</v>
      </c>
      <c r="AC10" s="1">
        <v>1894.1506643499995</v>
      </c>
      <c r="AD10" s="1">
        <v>1915.1119958249997</v>
      </c>
      <c r="AE10" s="1">
        <v>1936.0655088249998</v>
      </c>
      <c r="AF10" s="1">
        <v>1957.0268402999995</v>
      </c>
      <c r="AG10" s="1">
        <v>1977.9881717749995</v>
      </c>
      <c r="AH10" s="1">
        <v>1998.9495032499997</v>
      </c>
      <c r="AI10" s="1">
        <v>2019.9108347249999</v>
      </c>
      <c r="AJ10" s="1">
        <v>2040.8721661999998</v>
      </c>
      <c r="AK10" s="1">
        <v>2062.365153975</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55" width="12.57"/>
  </cols>
  <sheetData>
    <row r="1" ht="15.75" customHeight="1">
      <c r="A1" s="1" t="s">
        <v>15</v>
      </c>
      <c r="B1" s="1" t="s">
        <v>745</v>
      </c>
      <c r="C1" s="1" t="s">
        <v>748</v>
      </c>
    </row>
    <row r="2" ht="15.75" customHeight="1">
      <c r="A2" s="1" t="str">
        <f>'(patio_costs)'!A14</f>
        <v/>
      </c>
      <c r="B2" s="1" t="str">
        <f>'(patio_costs)'!B14</f>
        <v>2250</v>
      </c>
      <c r="C2" s="1" t="str">
        <f>'(patio_costs)'!C14</f>
        <v>2350</v>
      </c>
      <c r="D2" s="1" t="str">
        <f>'(patio_costs)'!D14</f>
        <v>2450</v>
      </c>
      <c r="E2" s="1" t="str">
        <f>'(patio_costs)'!E14</f>
        <v>2550</v>
      </c>
      <c r="F2" s="1" t="str">
        <f>'(patio_costs)'!F14</f>
        <v>2650</v>
      </c>
      <c r="G2" s="1" t="str">
        <f>'(patio_costs)'!G14</f>
        <v>2750</v>
      </c>
      <c r="H2" s="1" t="str">
        <f>'(patio_costs)'!H14</f>
        <v>2850</v>
      </c>
      <c r="I2" s="1" t="str">
        <f>'(patio_costs)'!I14</f>
        <v>2950</v>
      </c>
      <c r="J2" s="1" t="str">
        <f>'(patio_costs)'!J14</f>
        <v>3050</v>
      </c>
      <c r="K2" s="1" t="str">
        <f>'(patio_costs)'!K14</f>
        <v>3150</v>
      </c>
      <c r="L2" s="1" t="str">
        <f>'(patio_costs)'!L14</f>
        <v>3250</v>
      </c>
      <c r="M2" s="1" t="str">
        <f>'(patio_costs)'!M14</f>
        <v>3350</v>
      </c>
      <c r="N2" s="1" t="str">
        <f>'(patio_costs)'!N14</f>
        <v>3450</v>
      </c>
      <c r="O2" s="1" t="str">
        <f>'(patio_costs)'!O14</f>
        <v>3550</v>
      </c>
      <c r="P2" s="1" t="str">
        <f>'(patio_costs)'!P14</f>
        <v>3650</v>
      </c>
      <c r="Q2" s="1" t="str">
        <f>'(patio_costs)'!Q14</f>
        <v>3750</v>
      </c>
      <c r="R2" s="1" t="str">
        <f>'(patio_costs)'!R14</f>
        <v>3850</v>
      </c>
      <c r="S2" s="1" t="str">
        <f>'(patio_costs)'!S14</f>
        <v>3950</v>
      </c>
      <c r="T2" s="1" t="str">
        <f>'(patio_costs)'!T14</f>
        <v>4050</v>
      </c>
      <c r="U2" s="1" t="str">
        <f>'(patio_costs)'!U14</f>
        <v>4150</v>
      </c>
      <c r="V2" s="1" t="str">
        <f>'(patio_costs)'!V14</f>
        <v>4250</v>
      </c>
      <c r="W2" s="1" t="str">
        <f>'(patio_costs)'!W14</f>
        <v>4350</v>
      </c>
      <c r="X2" s="1" t="str">
        <f>'(patio_costs)'!X14</f>
        <v>4450</v>
      </c>
      <c r="Y2" s="1" t="str">
        <f>'(patio_costs)'!Y14</f>
        <v>4550</v>
      </c>
      <c r="Z2" s="1" t="str">
        <f>'(patio_costs)'!Z14</f>
        <v>4650</v>
      </c>
      <c r="AA2" s="1" t="str">
        <f>'(patio_costs)'!AA14</f>
        <v>4750</v>
      </c>
      <c r="AB2" s="1" t="str">
        <f>'(patio_costs)'!AB14</f>
        <v>4850</v>
      </c>
      <c r="AC2" s="1" t="str">
        <f>'(patio_costs)'!AC14</f>
        <v>4950</v>
      </c>
      <c r="AD2" s="1" t="str">
        <f>'(patio_costs)'!AD14</f>
        <v>5050</v>
      </c>
      <c r="AE2" s="1" t="str">
        <f>'(patio_costs)'!AE14</f>
        <v>5150</v>
      </c>
      <c r="AF2" s="1" t="str">
        <f>'(patio_costs)'!AF14</f>
        <v>5250</v>
      </c>
      <c r="AG2" s="1" t="str">
        <f>'(patio_costs)'!AG14</f>
        <v>5350</v>
      </c>
      <c r="AH2" s="1" t="str">
        <f>'(patio_costs)'!AH14</f>
        <v>5450</v>
      </c>
      <c r="AI2" s="1" t="str">
        <f>'(patio_costs)'!AI14</f>
        <v>5550</v>
      </c>
      <c r="AJ2" s="1" t="str">
        <f>'(patio_costs)'!AJ14</f>
        <v>5650</v>
      </c>
      <c r="AK2" s="1" t="str">
        <f>'(patio_costs)'!AK14</f>
        <v>5750</v>
      </c>
      <c r="AL2" s="1" t="str">
        <f>'(patio_costs)'!AL14</f>
        <v>5850</v>
      </c>
      <c r="AM2" s="1" t="str">
        <f>'(patio_costs)'!AM14</f>
        <v>5950</v>
      </c>
      <c r="AN2" s="1" t="str">
        <f>'(patio_costs)'!AN14</f>
        <v>6050</v>
      </c>
      <c r="AO2" s="1" t="str">
        <f>'(patio_costs)'!AO14</f>
        <v>6150</v>
      </c>
      <c r="AP2" s="1" t="str">
        <f>'(patio_costs)'!AP14</f>
        <v>6250</v>
      </c>
      <c r="AQ2" s="1" t="str">
        <f>'(patio_costs)'!AQ14</f>
        <v>6350</v>
      </c>
      <c r="AR2" s="1" t="str">
        <f>'(patio_costs)'!AR14</f>
        <v>6450</v>
      </c>
      <c r="AS2" s="1" t="str">
        <f>'(patio_costs)'!AS14</f>
        <v>6550</v>
      </c>
      <c r="AT2" s="1" t="str">
        <f>'(patio_costs)'!AT14</f>
        <v>6650</v>
      </c>
      <c r="AU2" s="1" t="str">
        <f>'(patio_costs)'!AU14</f>
        <v>6750</v>
      </c>
      <c r="AV2" s="1" t="str">
        <f>'(patio_costs)'!AV14</f>
        <v>6850</v>
      </c>
      <c r="AW2" s="1" t="str">
        <f>'(patio_costs)'!AW14</f>
        <v>6950</v>
      </c>
      <c r="AX2" s="1" t="str">
        <f>'(patio_costs)'!AX14</f>
        <v>7050</v>
      </c>
      <c r="AY2" s="1" t="str">
        <f>'(patio_costs)'!AY14</f>
        <v>7150</v>
      </c>
      <c r="AZ2" s="1" t="str">
        <f>'(patio_costs)'!AZ14</f>
        <v>7250</v>
      </c>
      <c r="BA2" s="1" t="str">
        <f>'(patio_costs)'!BA14</f>
        <v>7350</v>
      </c>
      <c r="BB2" s="1" t="str">
        <f>'(patio_costs)'!BB14</f>
        <v>7450</v>
      </c>
      <c r="BC2" s="1" t="str">
        <f>'(patio_costs)'!BC14</f>
        <v>7500</v>
      </c>
    </row>
    <row r="3" ht="15.75" customHeight="1">
      <c r="A3" s="1" t="str">
        <f>'(patio_costs)'!A15</f>
        <v>2000</v>
      </c>
      <c r="B3" s="1" t="str">
        <f t="array" ref="B3:BC10">'(patio_costs)'!B15:BC22*(1+MARKUP!$Z$6)</f>
        <v>1648.13453</v>
      </c>
      <c r="C3" s="1">
        <v>1673.54457375</v>
      </c>
      <c r="D3" s="1">
        <v>1698.9546174999998</v>
      </c>
      <c r="E3" s="1">
        <v>1724.3646612499997</v>
      </c>
      <c r="F3" s="1">
        <v>1749.7747049999996</v>
      </c>
      <c r="G3" s="1">
        <v>1775.1847487499997</v>
      </c>
      <c r="H3" s="1">
        <v>1800.5947924999998</v>
      </c>
      <c r="I3" s="1">
        <v>1826.00483625</v>
      </c>
      <c r="J3" s="1">
        <v>1851.4070615249996</v>
      </c>
      <c r="K3" s="1">
        <v>1876.8171052749994</v>
      </c>
      <c r="L3" s="1">
        <v>1903.0246334749997</v>
      </c>
      <c r="M3" s="1">
        <v>1928.434677225</v>
      </c>
      <c r="N3" s="1">
        <v>1953.844720975</v>
      </c>
      <c r="O3" s="1">
        <v>1979.2547647249999</v>
      </c>
      <c r="P3" s="1">
        <v>2004.664808475</v>
      </c>
      <c r="Q3" s="1">
        <v>2030.0670337499998</v>
      </c>
      <c r="R3" s="1">
        <v>2055.4770774999997</v>
      </c>
      <c r="S3" s="1">
        <v>2080.88712125</v>
      </c>
      <c r="T3" s="1">
        <v>2106.2971649999995</v>
      </c>
      <c r="U3" s="1">
        <v>2131.7072087499996</v>
      </c>
      <c r="V3" s="1">
        <v>2157.1172524999997</v>
      </c>
      <c r="W3" s="1">
        <v>2182.5272962499994</v>
      </c>
      <c r="X3" s="1">
        <v>2207.9295215249995</v>
      </c>
      <c r="Y3" s="1">
        <v>2233.3395652749996</v>
      </c>
      <c r="Z3" s="1">
        <v>2259.5470934749997</v>
      </c>
      <c r="AA3" s="1">
        <v>2284.9571372249998</v>
      </c>
      <c r="AB3" s="1">
        <v>2310.367180975</v>
      </c>
      <c r="AC3" s="1">
        <v>2335.777224725</v>
      </c>
      <c r="AD3" s="1">
        <v>2361.187268475</v>
      </c>
      <c r="AE3" s="1">
        <v>2417.1519125249997</v>
      </c>
      <c r="AF3" s="1">
        <v>2442.5541377999994</v>
      </c>
      <c r="AG3" s="1">
        <v>2467.9641815499995</v>
      </c>
      <c r="AH3" s="1">
        <v>2493.3742252999996</v>
      </c>
      <c r="AI3" s="1">
        <v>2518.7842690499997</v>
      </c>
      <c r="AJ3" s="1">
        <v>2544.1943128</v>
      </c>
      <c r="AK3" s="1">
        <v>2569.6043565499995</v>
      </c>
      <c r="AL3" s="1">
        <v>2595.0144002999996</v>
      </c>
      <c r="AM3" s="1">
        <v>2621.214110025</v>
      </c>
      <c r="AN3" s="1">
        <v>2646.6241537749997</v>
      </c>
      <c r="AO3" s="1">
        <v>2672.034197525</v>
      </c>
      <c r="AP3" s="1">
        <v>2697.4442412749995</v>
      </c>
      <c r="AQ3" s="1">
        <v>2722.8542850249996</v>
      </c>
      <c r="AR3" s="1">
        <v>2748.2643287749997</v>
      </c>
      <c r="AS3" s="1">
        <v>2773.6743725249994</v>
      </c>
      <c r="AT3" s="1">
        <v>2799.0765977999995</v>
      </c>
      <c r="AU3" s="1">
        <v>2824.4866415499996</v>
      </c>
      <c r="AV3" s="1">
        <v>2849.8966852999993</v>
      </c>
      <c r="AW3" s="1">
        <v>2875.3067290499994</v>
      </c>
      <c r="AX3" s="1">
        <v>2900.7167727999995</v>
      </c>
      <c r="AY3" s="1">
        <v>2926.1268165499996</v>
      </c>
      <c r="AZ3" s="1">
        <v>2951.5368602999997</v>
      </c>
      <c r="BA3" s="1">
        <v>2977.7443884999993</v>
      </c>
      <c r="BB3" s="1">
        <v>3003.1466137749994</v>
      </c>
      <c r="BC3" s="1">
        <v>3015.8516356499995</v>
      </c>
    </row>
    <row r="4" ht="15.75" customHeight="1">
      <c r="A4" s="1" t="str">
        <f>'(patio_costs)'!A16</f>
        <v>2100</v>
      </c>
      <c r="B4" s="1">
        <v>1688.2276697999998</v>
      </c>
      <c r="C4" s="1">
        <v>1713.6377135499997</v>
      </c>
      <c r="D4" s="1">
        <v>1739.0477573</v>
      </c>
      <c r="E4" s="1">
        <v>1764.45780105</v>
      </c>
      <c r="F4" s="1">
        <v>1789.8678448</v>
      </c>
      <c r="G4" s="1">
        <v>1815.27788855</v>
      </c>
      <c r="H4" s="1">
        <v>1840.6801138249996</v>
      </c>
      <c r="I4" s="1">
        <v>1866.090157575</v>
      </c>
      <c r="J4" s="1">
        <v>1891.5002013249998</v>
      </c>
      <c r="K4" s="1">
        <v>1916.9102450749997</v>
      </c>
      <c r="L4" s="1">
        <v>1943.1177732749998</v>
      </c>
      <c r="M4" s="1">
        <v>1968.5278170249996</v>
      </c>
      <c r="N4" s="1">
        <v>1993.9378607749995</v>
      </c>
      <c r="O4" s="1">
        <v>2019.3400860499999</v>
      </c>
      <c r="P4" s="1">
        <v>2044.7501298</v>
      </c>
      <c r="Q4" s="1">
        <v>2070.16017355</v>
      </c>
      <c r="R4" s="1">
        <v>2095.5702173</v>
      </c>
      <c r="S4" s="1">
        <v>2120.9802610499996</v>
      </c>
      <c r="T4" s="1">
        <v>2146.3903048</v>
      </c>
      <c r="U4" s="1">
        <v>2171.80034855</v>
      </c>
      <c r="V4" s="1">
        <v>2197.2025738249995</v>
      </c>
      <c r="W4" s="1">
        <v>2222.6126175749996</v>
      </c>
      <c r="X4" s="1">
        <v>2248.0226613249997</v>
      </c>
      <c r="Y4" s="1">
        <v>2273.432705075</v>
      </c>
      <c r="Z4" s="1">
        <v>2299.640233275</v>
      </c>
      <c r="AA4" s="1">
        <v>2325.0502770249996</v>
      </c>
      <c r="AB4" s="1">
        <v>2365.7376209249996</v>
      </c>
      <c r="AC4" s="1">
        <v>2406.4171463499997</v>
      </c>
      <c r="AD4" s="1">
        <v>2431.8271901</v>
      </c>
      <c r="AE4" s="1">
        <v>2457.23723385</v>
      </c>
      <c r="AF4" s="1">
        <v>2482.6472775999996</v>
      </c>
      <c r="AG4" s="1">
        <v>2508.0573213499997</v>
      </c>
      <c r="AH4" s="1">
        <v>2533.4673651</v>
      </c>
      <c r="AI4" s="1">
        <v>2558.8774088499995</v>
      </c>
      <c r="AJ4" s="1">
        <v>2584.2874525999996</v>
      </c>
      <c r="AK4" s="1">
        <v>2609.6896778749997</v>
      </c>
      <c r="AL4" s="1">
        <v>2635.0997216249993</v>
      </c>
      <c r="AM4" s="1">
        <v>2661.3072498249994</v>
      </c>
      <c r="AN4" s="1">
        <v>2686.7172935749995</v>
      </c>
      <c r="AO4" s="1">
        <v>2712.127337324999</v>
      </c>
      <c r="AP4" s="1">
        <v>2737.5373810749998</v>
      </c>
      <c r="AQ4" s="1">
        <v>2762.9474248249994</v>
      </c>
      <c r="AR4" s="1">
        <v>2788.3496500999995</v>
      </c>
      <c r="AS4" s="1">
        <v>2813.7596938499996</v>
      </c>
      <c r="AT4" s="1">
        <v>2839.1697375999997</v>
      </c>
      <c r="AU4" s="1">
        <v>2864.57978135</v>
      </c>
      <c r="AV4" s="1">
        <v>2889.9898251</v>
      </c>
      <c r="AW4" s="1">
        <v>2915.3998688499996</v>
      </c>
      <c r="AX4" s="1">
        <v>2940.8099125999997</v>
      </c>
      <c r="AY4" s="1">
        <v>2966.212137875</v>
      </c>
      <c r="AZ4" s="1">
        <v>2991.6221816249995</v>
      </c>
      <c r="BA4" s="1">
        <v>3017.8297098249996</v>
      </c>
      <c r="BB4" s="1">
        <v>3043.2397535749997</v>
      </c>
      <c r="BC4" s="1">
        <v>3055.9447754499993</v>
      </c>
    </row>
    <row r="5" ht="15.75" customHeight="1">
      <c r="A5" s="1" t="str">
        <f>'(patio_costs)'!A17</f>
        <v>2200</v>
      </c>
      <c r="B5" s="1">
        <v>1728.3208095999998</v>
      </c>
      <c r="C5" s="1">
        <v>1753.7308533499997</v>
      </c>
      <c r="D5" s="1">
        <v>1779.1408970999996</v>
      </c>
      <c r="E5" s="1">
        <v>1804.543122375</v>
      </c>
      <c r="F5" s="1">
        <v>1829.953166125</v>
      </c>
      <c r="G5" s="1">
        <v>1855.363209875</v>
      </c>
      <c r="H5" s="1">
        <v>1880.7732536249998</v>
      </c>
      <c r="I5" s="1">
        <v>1906.1832973749997</v>
      </c>
      <c r="J5" s="1">
        <v>1931.5933411249998</v>
      </c>
      <c r="K5" s="1">
        <v>1957.003384875</v>
      </c>
      <c r="L5" s="1">
        <v>1983.2030945999998</v>
      </c>
      <c r="M5" s="1">
        <v>2008.6131383499996</v>
      </c>
      <c r="N5" s="1">
        <v>2034.0231820999995</v>
      </c>
      <c r="O5" s="1">
        <v>2059.4332258499994</v>
      </c>
      <c r="P5" s="1">
        <v>2084.8432695999995</v>
      </c>
      <c r="Q5" s="1">
        <v>2110.2533133499996</v>
      </c>
      <c r="R5" s="1">
        <v>2135.6633570999998</v>
      </c>
      <c r="S5" s="1">
        <v>2161.065582375</v>
      </c>
      <c r="T5" s="1">
        <v>2186.4756261249995</v>
      </c>
      <c r="U5" s="1">
        <v>2211.885669875</v>
      </c>
      <c r="V5" s="1">
        <v>2237.2957136249997</v>
      </c>
      <c r="W5" s="1">
        <v>2262.705757375</v>
      </c>
      <c r="X5" s="1">
        <v>2288.115801125</v>
      </c>
      <c r="Y5" s="1">
        <v>2313.5258448749996</v>
      </c>
      <c r="Z5" s="1">
        <v>2370.2879733749996</v>
      </c>
      <c r="AA5" s="1">
        <v>2395.6901986499997</v>
      </c>
      <c r="AB5" s="1">
        <v>2421.1002424</v>
      </c>
      <c r="AC5" s="1">
        <v>2446.5102861499995</v>
      </c>
      <c r="AD5" s="1">
        <v>2471.9203298999996</v>
      </c>
      <c r="AE5" s="1">
        <v>2497.3303736499993</v>
      </c>
      <c r="AF5" s="1">
        <v>2522.7404173999994</v>
      </c>
      <c r="AG5" s="1">
        <v>2548.1504611499995</v>
      </c>
      <c r="AH5" s="1">
        <v>2573.5605048999996</v>
      </c>
      <c r="AI5" s="1">
        <v>2598.9627301749997</v>
      </c>
      <c r="AJ5" s="1">
        <v>2624.372773925</v>
      </c>
      <c r="AK5" s="1">
        <v>2649.7828176749995</v>
      </c>
      <c r="AL5" s="1">
        <v>2675.192861425</v>
      </c>
      <c r="AM5" s="1">
        <v>2701.4003896249997</v>
      </c>
      <c r="AN5" s="1">
        <v>2726.810433375</v>
      </c>
      <c r="AO5" s="1">
        <v>2752.220477125</v>
      </c>
      <c r="AP5" s="1">
        <v>2777.6227023999995</v>
      </c>
      <c r="AQ5" s="1">
        <v>2803.0327461499996</v>
      </c>
      <c r="AR5" s="1">
        <v>2828.4427898999998</v>
      </c>
      <c r="AS5" s="1">
        <v>2853.8528336499994</v>
      </c>
      <c r="AT5" s="1">
        <v>2879.2628773999995</v>
      </c>
      <c r="AU5" s="1">
        <v>2904.6729211499996</v>
      </c>
      <c r="AV5" s="1">
        <v>2930.0829648999993</v>
      </c>
      <c r="AW5" s="1">
        <v>2955.485190175</v>
      </c>
      <c r="AX5" s="1">
        <v>2980.8952339249995</v>
      </c>
      <c r="AY5" s="1">
        <v>3006.3052776749996</v>
      </c>
      <c r="AZ5" s="1">
        <v>3031.7153214249997</v>
      </c>
      <c r="BA5" s="1">
        <v>3057.9228496249993</v>
      </c>
      <c r="BB5" s="1">
        <v>3083.3328933749995</v>
      </c>
      <c r="BC5" s="1">
        <v>3096.0379152499995</v>
      </c>
    </row>
    <row r="6" ht="15.75" customHeight="1">
      <c r="A6" s="1" t="str">
        <f>'(patio_costs)'!A18</f>
        <v>2300</v>
      </c>
      <c r="B6" s="1">
        <v>1768.4139493999996</v>
      </c>
      <c r="C6" s="1">
        <v>1793.8161746749997</v>
      </c>
      <c r="D6" s="1">
        <v>1819.2262184249996</v>
      </c>
      <c r="E6" s="1">
        <v>1844.6362621749997</v>
      </c>
      <c r="F6" s="1">
        <v>1870.0463059249996</v>
      </c>
      <c r="G6" s="1">
        <v>1895.4563496749995</v>
      </c>
      <c r="H6" s="1">
        <v>1920.8663934249998</v>
      </c>
      <c r="I6" s="1">
        <v>1946.2764371749997</v>
      </c>
      <c r="J6" s="1">
        <v>1971.6786624499998</v>
      </c>
      <c r="K6" s="1">
        <v>1997.0887061999997</v>
      </c>
      <c r="L6" s="1">
        <v>2023.2962343999998</v>
      </c>
      <c r="M6" s="1">
        <v>2048.70627815</v>
      </c>
      <c r="N6" s="1">
        <v>2074.1163219</v>
      </c>
      <c r="O6" s="1">
        <v>2099.5263656499997</v>
      </c>
      <c r="P6" s="1">
        <v>2124.9364094</v>
      </c>
      <c r="Q6" s="1">
        <v>2150.3386346749994</v>
      </c>
      <c r="R6" s="1">
        <v>2175.7486784249995</v>
      </c>
      <c r="S6" s="1">
        <v>2201.1587221749996</v>
      </c>
      <c r="T6" s="1">
        <v>2226.5687659249998</v>
      </c>
      <c r="U6" s="1">
        <v>2251.9788096749994</v>
      </c>
      <c r="V6" s="1">
        <v>2277.3888534249995</v>
      </c>
      <c r="W6" s="1">
        <v>2302.7988971749996</v>
      </c>
      <c r="X6" s="1">
        <v>2358.7557227499997</v>
      </c>
      <c r="Y6" s="1">
        <v>2384.1657665</v>
      </c>
      <c r="Z6" s="1">
        <v>2410.3732947</v>
      </c>
      <c r="AA6" s="1">
        <v>2435.7833384499995</v>
      </c>
      <c r="AB6" s="1">
        <v>2461.1933821999996</v>
      </c>
      <c r="AC6" s="1">
        <v>2486.6034259499997</v>
      </c>
      <c r="AD6" s="1">
        <v>2512.0134697</v>
      </c>
      <c r="AE6" s="1">
        <v>2537.42351345</v>
      </c>
      <c r="AF6" s="1">
        <v>2562.8257387249996</v>
      </c>
      <c r="AG6" s="1">
        <v>2588.2357824749993</v>
      </c>
      <c r="AH6" s="1">
        <v>2613.645826225</v>
      </c>
      <c r="AI6" s="1">
        <v>2639.0558699749995</v>
      </c>
      <c r="AJ6" s="1">
        <v>2664.4659137249996</v>
      </c>
      <c r="AK6" s="1">
        <v>2689.8759574749997</v>
      </c>
      <c r="AL6" s="1">
        <v>2715.2860012249994</v>
      </c>
      <c r="AM6" s="1">
        <v>2741.48571095</v>
      </c>
      <c r="AN6" s="1">
        <v>2766.8957546999995</v>
      </c>
      <c r="AO6" s="1">
        <v>2792.3057984499997</v>
      </c>
      <c r="AP6" s="1">
        <v>2817.7158421999998</v>
      </c>
      <c r="AQ6" s="1">
        <v>2843.1258859499994</v>
      </c>
      <c r="AR6" s="1">
        <v>2868.5359296999995</v>
      </c>
      <c r="AS6" s="1">
        <v>2893.9459734499997</v>
      </c>
      <c r="AT6" s="1">
        <v>2919.3481987249993</v>
      </c>
      <c r="AU6" s="1">
        <v>2944.7582424749994</v>
      </c>
      <c r="AV6" s="1">
        <v>2970.1682862249995</v>
      </c>
      <c r="AW6" s="1">
        <v>2995.578329974999</v>
      </c>
      <c r="AX6" s="1">
        <v>3020.9883737249997</v>
      </c>
      <c r="AY6" s="1">
        <v>3046.3984174749994</v>
      </c>
      <c r="AZ6" s="1">
        <v>3071.8084612249995</v>
      </c>
      <c r="BA6" s="1">
        <v>3098.0159894249996</v>
      </c>
      <c r="BB6" s="1">
        <v>3123.4182146999997</v>
      </c>
      <c r="BC6" s="1">
        <v>3136.1232365749997</v>
      </c>
    </row>
    <row r="7" ht="15.75" customHeight="1">
      <c r="A7" s="1" t="str">
        <f>'(patio_costs)'!A19</f>
        <v>2400</v>
      </c>
      <c r="B7" s="1">
        <v>1808.4992707249999</v>
      </c>
      <c r="C7" s="1">
        <v>1833.9093144749997</v>
      </c>
      <c r="D7" s="1">
        <v>1859.319358225</v>
      </c>
      <c r="E7" s="1">
        <v>1884.729401975</v>
      </c>
      <c r="F7" s="1">
        <v>1910.1394457249999</v>
      </c>
      <c r="G7" s="1">
        <v>1935.5494894749997</v>
      </c>
      <c r="H7" s="1">
        <v>1960.9517147499994</v>
      </c>
      <c r="I7" s="1">
        <v>1986.3617584999997</v>
      </c>
      <c r="J7" s="1">
        <v>2011.7718022499996</v>
      </c>
      <c r="K7" s="1">
        <v>2037.1818459999997</v>
      </c>
      <c r="L7" s="1">
        <v>2063.3893741999996</v>
      </c>
      <c r="M7" s="1">
        <v>2088.7994179499997</v>
      </c>
      <c r="N7" s="1">
        <v>2114.2094616999993</v>
      </c>
      <c r="O7" s="1">
        <v>2139.611686975</v>
      </c>
      <c r="P7" s="1">
        <v>2165.021730725</v>
      </c>
      <c r="Q7" s="1">
        <v>2190.4317744749997</v>
      </c>
      <c r="R7" s="1">
        <v>2215.8418182249998</v>
      </c>
      <c r="S7" s="1">
        <v>2241.2518619749994</v>
      </c>
      <c r="T7" s="1">
        <v>2266.661905725</v>
      </c>
      <c r="U7" s="1">
        <v>2292.0719494749997</v>
      </c>
      <c r="V7" s="1">
        <v>2348.0365935249997</v>
      </c>
      <c r="W7" s="1">
        <v>2373.4388187999994</v>
      </c>
      <c r="X7" s="1">
        <v>2398.8488625499995</v>
      </c>
      <c r="Y7" s="1">
        <v>2424.2589062999996</v>
      </c>
      <c r="Z7" s="1">
        <v>2450.4664344999997</v>
      </c>
      <c r="AA7" s="1">
        <v>2475.8764782499998</v>
      </c>
      <c r="AB7" s="1">
        <v>2501.2865219999994</v>
      </c>
      <c r="AC7" s="1">
        <v>2526.6887472749995</v>
      </c>
      <c r="AD7" s="1">
        <v>2552.0987910249996</v>
      </c>
      <c r="AE7" s="1">
        <v>2577.5088347749997</v>
      </c>
      <c r="AF7" s="1">
        <v>2602.918878525</v>
      </c>
      <c r="AG7" s="1">
        <v>2628.3289222749995</v>
      </c>
      <c r="AH7" s="1">
        <v>2653.7389660249996</v>
      </c>
      <c r="AI7" s="1">
        <v>2679.1490097749997</v>
      </c>
      <c r="AJ7" s="1">
        <v>2704.5590535249994</v>
      </c>
      <c r="AK7" s="1">
        <v>2729.9612787999995</v>
      </c>
      <c r="AL7" s="1">
        <v>2755.3713225499996</v>
      </c>
      <c r="AM7" s="1">
        <v>2781.578850749999</v>
      </c>
      <c r="AN7" s="1">
        <v>2806.9888944999993</v>
      </c>
      <c r="AO7" s="1">
        <v>2832.3989382499994</v>
      </c>
      <c r="AP7" s="1">
        <v>2857.8089819999996</v>
      </c>
      <c r="AQ7" s="1">
        <v>2883.2190257499997</v>
      </c>
      <c r="AR7" s="1">
        <v>2908.6212510249998</v>
      </c>
      <c r="AS7" s="1">
        <v>2934.0312947749994</v>
      </c>
      <c r="AT7" s="1">
        <v>2959.4413385249995</v>
      </c>
      <c r="AU7" s="1">
        <v>2984.8513822749997</v>
      </c>
      <c r="AV7" s="1">
        <v>3010.2614260249998</v>
      </c>
      <c r="AW7" s="1">
        <v>3035.6714697749994</v>
      </c>
      <c r="AX7" s="1">
        <v>3061.0815135249995</v>
      </c>
      <c r="AY7" s="1">
        <v>3086.4915572749996</v>
      </c>
      <c r="AZ7" s="1">
        <v>3111.8937825499997</v>
      </c>
      <c r="BA7" s="1">
        <v>3138.1013107499994</v>
      </c>
      <c r="BB7" s="1">
        <v>3163.511354499999</v>
      </c>
      <c r="BC7" s="1">
        <v>3176.216376374999</v>
      </c>
    </row>
    <row r="8" ht="15.75" customHeight="1">
      <c r="A8" s="1" t="str">
        <f>'(patio_costs)'!A20</f>
        <v>2500</v>
      </c>
      <c r="B8" s="1">
        <v>1848.5924105249997</v>
      </c>
      <c r="C8" s="1">
        <v>1874.0024542749998</v>
      </c>
      <c r="D8" s="1">
        <v>1899.4124980249996</v>
      </c>
      <c r="E8" s="1">
        <v>1924.8147233</v>
      </c>
      <c r="F8" s="1">
        <v>1950.2247670499999</v>
      </c>
      <c r="G8" s="1">
        <v>1975.6348107999997</v>
      </c>
      <c r="H8" s="1">
        <v>2001.0448545499999</v>
      </c>
      <c r="I8" s="1">
        <v>2026.4548982999997</v>
      </c>
      <c r="J8" s="1">
        <v>2051.8649420499996</v>
      </c>
      <c r="K8" s="1">
        <v>2077.2749857999997</v>
      </c>
      <c r="L8" s="1">
        <v>2103.482514</v>
      </c>
      <c r="M8" s="1">
        <v>2128.8847392749994</v>
      </c>
      <c r="N8" s="1">
        <v>2154.2947830249996</v>
      </c>
      <c r="O8" s="1">
        <v>2179.7048267749997</v>
      </c>
      <c r="P8" s="1">
        <v>2205.1148705249993</v>
      </c>
      <c r="Q8" s="1">
        <v>2230.524914275</v>
      </c>
      <c r="R8" s="1">
        <v>2255.9349580249996</v>
      </c>
      <c r="S8" s="1">
        <v>2281.3450017749997</v>
      </c>
      <c r="T8" s="1">
        <v>2322.0245271999997</v>
      </c>
      <c r="U8" s="1">
        <v>2362.7118710999994</v>
      </c>
      <c r="V8" s="1">
        <v>2388.12191485</v>
      </c>
      <c r="W8" s="1">
        <v>2413.5319585999996</v>
      </c>
      <c r="X8" s="1">
        <v>2438.9420023499997</v>
      </c>
      <c r="Y8" s="1">
        <v>2464.3520461</v>
      </c>
      <c r="Z8" s="1">
        <v>2490.5595742999994</v>
      </c>
      <c r="AA8" s="1">
        <v>2515.9617995749995</v>
      </c>
      <c r="AB8" s="1">
        <v>2541.3718433249996</v>
      </c>
      <c r="AC8" s="1">
        <v>2566.7818870749993</v>
      </c>
      <c r="AD8" s="1">
        <v>2592.1919308249994</v>
      </c>
      <c r="AE8" s="1">
        <v>2617.6019745749995</v>
      </c>
      <c r="AF8" s="1">
        <v>2643.012018324999</v>
      </c>
      <c r="AG8" s="1">
        <v>2668.4220620749993</v>
      </c>
      <c r="AH8" s="1">
        <v>2693.8321058249994</v>
      </c>
      <c r="AI8" s="1">
        <v>2719.2343310999995</v>
      </c>
      <c r="AJ8" s="1">
        <v>2744.6443748499996</v>
      </c>
      <c r="AK8" s="1">
        <v>2770.0544185999993</v>
      </c>
      <c r="AL8" s="1">
        <v>2795.46446235</v>
      </c>
      <c r="AM8" s="1">
        <v>2821.67199055</v>
      </c>
      <c r="AN8" s="1">
        <v>2847.0820342999996</v>
      </c>
      <c r="AO8" s="1">
        <v>2872.4920780499997</v>
      </c>
      <c r="AP8" s="1">
        <v>2897.8943033249993</v>
      </c>
      <c r="AQ8" s="1">
        <v>2923.3043470749994</v>
      </c>
      <c r="AR8" s="1">
        <v>2948.7143908249996</v>
      </c>
      <c r="AS8" s="1">
        <v>2974.1244345749997</v>
      </c>
      <c r="AT8" s="1">
        <v>2999.5344783249993</v>
      </c>
      <c r="AU8" s="1">
        <v>3024.9445220749994</v>
      </c>
      <c r="AV8" s="1">
        <v>3050.354565824999</v>
      </c>
      <c r="AW8" s="1">
        <v>3075.7567910999996</v>
      </c>
      <c r="AX8" s="1">
        <v>3101.1668348499998</v>
      </c>
      <c r="AY8" s="1">
        <v>3126.5768785999994</v>
      </c>
      <c r="AZ8" s="1">
        <v>3151.9869223499995</v>
      </c>
      <c r="BA8" s="1">
        <v>3178.1944505499996</v>
      </c>
      <c r="BB8" s="1">
        <v>3203.6044942999993</v>
      </c>
      <c r="BC8" s="1">
        <v>3216.309516174999</v>
      </c>
    </row>
    <row r="9" ht="15.75" customHeight="1">
      <c r="A9" s="1" t="str">
        <f>'(patio_costs)'!A21</f>
        <v>2600</v>
      </c>
      <c r="B9" s="1">
        <v>1888.6855503249997</v>
      </c>
      <c r="C9" s="1">
        <v>1914.0877755999998</v>
      </c>
      <c r="D9" s="1">
        <v>1939.4978193499996</v>
      </c>
      <c r="E9" s="1">
        <v>1964.9078630999995</v>
      </c>
      <c r="F9" s="1">
        <v>1990.3179068499994</v>
      </c>
      <c r="G9" s="1">
        <v>2015.7279505999995</v>
      </c>
      <c r="H9" s="1">
        <v>2041.1379943499996</v>
      </c>
      <c r="I9" s="1">
        <v>2066.5480380999998</v>
      </c>
      <c r="J9" s="1">
        <v>2091.950263375</v>
      </c>
      <c r="K9" s="1">
        <v>2117.3603071249995</v>
      </c>
      <c r="L9" s="1">
        <v>2143.5678353249996</v>
      </c>
      <c r="M9" s="1">
        <v>2168.9778790749997</v>
      </c>
      <c r="N9" s="1">
        <v>2194.387922825</v>
      </c>
      <c r="O9" s="1">
        <v>2219.797966575</v>
      </c>
      <c r="P9" s="1">
        <v>2245.2080103249996</v>
      </c>
      <c r="Q9" s="1">
        <v>2270.610235599999</v>
      </c>
      <c r="R9" s="1">
        <v>2311.2975794999998</v>
      </c>
      <c r="S9" s="1">
        <v>2351.9849233999994</v>
      </c>
      <c r="T9" s="1">
        <v>2377.3949671499995</v>
      </c>
      <c r="U9" s="1">
        <v>2402.8050108999996</v>
      </c>
      <c r="V9" s="1">
        <v>2428.2150546499993</v>
      </c>
      <c r="W9" s="1">
        <v>2453.6250983999994</v>
      </c>
      <c r="X9" s="1">
        <v>2479.027323675</v>
      </c>
      <c r="Y9" s="1">
        <v>2504.4373674249996</v>
      </c>
      <c r="Z9" s="1">
        <v>2530.6448956249997</v>
      </c>
      <c r="AA9" s="1">
        <v>2556.054939375</v>
      </c>
      <c r="AB9" s="1">
        <v>2581.4649831249994</v>
      </c>
      <c r="AC9" s="1">
        <v>2606.8750268749995</v>
      </c>
      <c r="AD9" s="1">
        <v>2632.2850706249997</v>
      </c>
      <c r="AE9" s="1">
        <v>2657.695114375</v>
      </c>
      <c r="AF9" s="1">
        <v>2683.0973396499994</v>
      </c>
      <c r="AG9" s="1">
        <v>2708.5073833999995</v>
      </c>
      <c r="AH9" s="1">
        <v>2733.9174271499996</v>
      </c>
      <c r="AI9" s="1">
        <v>2759.3274708999998</v>
      </c>
      <c r="AJ9" s="1">
        <v>2784.7375146499994</v>
      </c>
      <c r="AK9" s="1">
        <v>2810.1475583999995</v>
      </c>
      <c r="AL9" s="1">
        <v>2835.557602149999</v>
      </c>
      <c r="AM9" s="1">
        <v>2861.7573118749992</v>
      </c>
      <c r="AN9" s="1">
        <v>2887.167355625</v>
      </c>
      <c r="AO9" s="1">
        <v>2912.5773993749995</v>
      </c>
      <c r="AP9" s="1">
        <v>2937.9874431249996</v>
      </c>
      <c r="AQ9" s="1">
        <v>2963.3974868749997</v>
      </c>
      <c r="AR9" s="1">
        <v>2988.8075306249993</v>
      </c>
      <c r="AS9" s="1">
        <v>3014.2175743749995</v>
      </c>
      <c r="AT9" s="1">
        <v>3039.6197996499995</v>
      </c>
      <c r="AU9" s="1">
        <v>3065.029843399999</v>
      </c>
      <c r="AV9" s="1">
        <v>3090.43988715</v>
      </c>
      <c r="AW9" s="1">
        <v>3115.8499308999994</v>
      </c>
      <c r="AX9" s="1">
        <v>3141.2599746499995</v>
      </c>
      <c r="AY9" s="1">
        <v>3166.6700183999997</v>
      </c>
      <c r="AZ9" s="1">
        <v>3192.0800621499993</v>
      </c>
      <c r="BA9" s="1">
        <v>3218.2797718749994</v>
      </c>
      <c r="BB9" s="1">
        <v>3243.6898156249995</v>
      </c>
      <c r="BC9" s="1">
        <v>3256.3948374999995</v>
      </c>
    </row>
    <row r="10" ht="15.75" customHeight="1">
      <c r="A10" s="1" t="str">
        <f>'(patio_costs)'!A22</f>
        <v>2700</v>
      </c>
      <c r="B10" s="1">
        <v>1928.7708716499997</v>
      </c>
      <c r="C10" s="1">
        <v>1954.1809153999995</v>
      </c>
      <c r="D10" s="1">
        <v>1979.5909591499997</v>
      </c>
      <c r="E10" s="1">
        <v>2005.0010028999998</v>
      </c>
      <c r="F10" s="1">
        <v>2030.41104665</v>
      </c>
      <c r="G10" s="1">
        <v>2055.8210904</v>
      </c>
      <c r="H10" s="1">
        <v>2081.2233156749994</v>
      </c>
      <c r="I10" s="1">
        <v>2106.6333594249995</v>
      </c>
      <c r="J10" s="1">
        <v>2132.0434031749996</v>
      </c>
      <c r="K10" s="1">
        <v>2157.4534469249998</v>
      </c>
      <c r="L10" s="1">
        <v>2183.6609751249994</v>
      </c>
      <c r="M10" s="1">
        <v>2209.0710188749995</v>
      </c>
      <c r="N10" s="1">
        <v>2234.4810626249996</v>
      </c>
      <c r="O10" s="1">
        <v>2259.8832878999997</v>
      </c>
      <c r="P10" s="1">
        <v>2285.29333165</v>
      </c>
      <c r="Q10" s="1">
        <v>2341.2579757</v>
      </c>
      <c r="R10" s="1">
        <v>2366.6680194499995</v>
      </c>
      <c r="S10" s="1">
        <v>2392.0780631999996</v>
      </c>
      <c r="T10" s="1">
        <v>2417.4881069499993</v>
      </c>
      <c r="U10" s="1">
        <v>2442.8981507</v>
      </c>
      <c r="V10" s="1">
        <v>2468.300375975</v>
      </c>
      <c r="W10" s="1">
        <v>2493.7104197249996</v>
      </c>
      <c r="X10" s="1">
        <v>2519.1204634749997</v>
      </c>
      <c r="Y10" s="1">
        <v>2544.530507225</v>
      </c>
      <c r="Z10" s="1">
        <v>2570.738035425</v>
      </c>
      <c r="AA10" s="1">
        <v>2596.148079175</v>
      </c>
      <c r="AB10" s="1">
        <v>2621.5581229249997</v>
      </c>
      <c r="AC10" s="1">
        <v>2646.9603481999993</v>
      </c>
      <c r="AD10" s="1">
        <v>2672.3703919499994</v>
      </c>
      <c r="AE10" s="1">
        <v>2697.7804356999995</v>
      </c>
      <c r="AF10" s="1">
        <v>2723.1904794499997</v>
      </c>
      <c r="AG10" s="1">
        <v>2748.6005231999998</v>
      </c>
      <c r="AH10" s="1">
        <v>2774.0105669499994</v>
      </c>
      <c r="AI10" s="1">
        <v>2799.4206106999995</v>
      </c>
      <c r="AJ10" s="1">
        <v>2824.8306544499997</v>
      </c>
      <c r="AK10" s="1">
        <v>2850.2328797249997</v>
      </c>
      <c r="AL10" s="1">
        <v>2875.642923475</v>
      </c>
      <c r="AM10" s="1">
        <v>2901.850451675</v>
      </c>
      <c r="AN10" s="1">
        <v>2927.2604954249996</v>
      </c>
      <c r="AO10" s="1">
        <v>2952.6705391749997</v>
      </c>
      <c r="AP10" s="1">
        <v>2978.080582925</v>
      </c>
      <c r="AQ10" s="1">
        <v>3003.490626675</v>
      </c>
      <c r="AR10" s="1">
        <v>3028.8928519499996</v>
      </c>
      <c r="AS10" s="1">
        <v>3054.302895699999</v>
      </c>
      <c r="AT10" s="1">
        <v>3079.7129394499993</v>
      </c>
      <c r="AU10" s="1">
        <v>3105.1229831999995</v>
      </c>
      <c r="AV10" s="1">
        <v>3130.5330269499996</v>
      </c>
      <c r="AW10" s="1">
        <v>3155.9430706999997</v>
      </c>
      <c r="AX10" s="1">
        <v>3181.3531144499993</v>
      </c>
      <c r="AY10" s="1">
        <v>3206.7631582</v>
      </c>
      <c r="AZ10" s="1">
        <v>3232.165383475</v>
      </c>
      <c r="BA10" s="1">
        <v>3258.3729116749996</v>
      </c>
      <c r="BB10" s="1">
        <v>3283.7829554249993</v>
      </c>
      <c r="BC10" s="1">
        <v>3267.7785371</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74" width="12.57"/>
  </cols>
  <sheetData>
    <row r="1" ht="15.75" customHeight="1">
      <c r="A1" s="1" t="s">
        <v>15</v>
      </c>
      <c r="B1" s="1" t="s">
        <v>745</v>
      </c>
      <c r="C1" s="1" t="s">
        <v>749</v>
      </c>
    </row>
    <row r="2" ht="15.75" customHeight="1">
      <c r="A2" s="1" t="str">
        <f>'(patio_costs)'!A25</f>
        <v/>
      </c>
      <c r="B2" s="1" t="str">
        <f>'(patio_costs)'!B25</f>
        <v>2800</v>
      </c>
      <c r="C2" s="1" t="str">
        <f>'(patio_costs)'!C25</f>
        <v>2900</v>
      </c>
      <c r="D2" s="1" t="str">
        <f>'(patio_costs)'!D25</f>
        <v>3000</v>
      </c>
      <c r="E2" s="1" t="str">
        <f>'(patio_costs)'!E25</f>
        <v>3100</v>
      </c>
      <c r="F2" s="1" t="str">
        <f>'(patio_costs)'!F25</f>
        <v>3200</v>
      </c>
      <c r="G2" s="1" t="str">
        <f>'(patio_costs)'!G25</f>
        <v>3300</v>
      </c>
      <c r="H2" s="1" t="str">
        <f>'(patio_costs)'!H25</f>
        <v>3400</v>
      </c>
      <c r="I2" s="1" t="str">
        <f>'(patio_costs)'!I25</f>
        <v>3500</v>
      </c>
      <c r="J2" s="1" t="str">
        <f>'(patio_costs)'!J25</f>
        <v>3600</v>
      </c>
      <c r="K2" s="1" t="str">
        <f>'(patio_costs)'!K25</f>
        <v>3700</v>
      </c>
      <c r="L2" s="1" t="str">
        <f>'(patio_costs)'!L25</f>
        <v>3800</v>
      </c>
      <c r="M2" s="1" t="str">
        <f>'(patio_costs)'!M25</f>
        <v>3900</v>
      </c>
      <c r="N2" s="1" t="str">
        <f>'(patio_costs)'!N25</f>
        <v>4000</v>
      </c>
      <c r="O2" s="1" t="str">
        <f>'(patio_costs)'!O25</f>
        <v>4100</v>
      </c>
      <c r="P2" s="1" t="str">
        <f>'(patio_costs)'!P25</f>
        <v>4200</v>
      </c>
      <c r="Q2" s="1" t="str">
        <f>'(patio_costs)'!Q25</f>
        <v>4300</v>
      </c>
      <c r="R2" s="1" t="str">
        <f>'(patio_costs)'!R25</f>
        <v>4400</v>
      </c>
      <c r="S2" s="1" t="str">
        <f>'(patio_costs)'!S25</f>
        <v>4500</v>
      </c>
      <c r="T2" s="1" t="str">
        <f>'(patio_costs)'!T25</f>
        <v>4600</v>
      </c>
      <c r="U2" s="1" t="str">
        <f>'(patio_costs)'!U25</f>
        <v>4700</v>
      </c>
      <c r="V2" s="1" t="str">
        <f>'(patio_costs)'!V25</f>
        <v>4800</v>
      </c>
      <c r="W2" s="1" t="str">
        <f>'(patio_costs)'!W25</f>
        <v>4900</v>
      </c>
      <c r="X2" s="1" t="str">
        <f>'(patio_costs)'!X25</f>
        <v>5000</v>
      </c>
      <c r="Y2" s="1" t="str">
        <f>'(patio_costs)'!Y25</f>
        <v>5100</v>
      </c>
      <c r="Z2" s="1" t="str">
        <f>'(patio_costs)'!Z25</f>
        <v>5200</v>
      </c>
      <c r="AA2" s="1" t="str">
        <f>'(patio_costs)'!AA25</f>
        <v>5300</v>
      </c>
      <c r="AB2" s="1" t="str">
        <f>'(patio_costs)'!AB25</f>
        <v>5400</v>
      </c>
      <c r="AC2" s="1" t="str">
        <f>'(patio_costs)'!AC25</f>
        <v>5500</v>
      </c>
      <c r="AD2" s="1" t="str">
        <f>'(patio_costs)'!AD25</f>
        <v>5600</v>
      </c>
      <c r="AE2" s="1" t="str">
        <f>'(patio_costs)'!AE25</f>
        <v>5700</v>
      </c>
      <c r="AF2" s="1" t="str">
        <f>'(patio_costs)'!AF25</f>
        <v>5800</v>
      </c>
      <c r="AG2" s="1" t="str">
        <f>'(patio_costs)'!AG25</f>
        <v>5900</v>
      </c>
      <c r="AH2" s="1" t="str">
        <f>'(patio_costs)'!AH25</f>
        <v>6000</v>
      </c>
      <c r="AI2" s="1" t="str">
        <f>'(patio_costs)'!AI25</f>
        <v>6100</v>
      </c>
      <c r="AJ2" s="1" t="str">
        <f>'(patio_costs)'!AJ25</f>
        <v>6200</v>
      </c>
      <c r="AK2" s="1" t="str">
        <f>'(patio_costs)'!AK25</f>
        <v>6300</v>
      </c>
      <c r="AL2" s="1" t="str">
        <f>'(patio_costs)'!AL25</f>
        <v>6400</v>
      </c>
      <c r="AM2" s="1" t="str">
        <f>'(patio_costs)'!AM25</f>
        <v>6500</v>
      </c>
      <c r="AN2" s="1" t="str">
        <f>'(patio_costs)'!AN25</f>
        <v>6600</v>
      </c>
      <c r="AO2" s="1" t="str">
        <f>'(patio_costs)'!AO25</f>
        <v>6700</v>
      </c>
      <c r="AP2" s="1" t="str">
        <f>'(patio_costs)'!AP25</f>
        <v>6800</v>
      </c>
      <c r="AQ2" s="1" t="str">
        <f>'(patio_costs)'!AQ25</f>
        <v>6900</v>
      </c>
      <c r="AR2" s="1" t="str">
        <f>'(patio_costs)'!AR25</f>
        <v>7000</v>
      </c>
      <c r="AS2" s="1" t="str">
        <f>'(patio_costs)'!AS25</f>
        <v>7100</v>
      </c>
      <c r="AT2" s="1" t="str">
        <f>'(patio_costs)'!AT25</f>
        <v>7200</v>
      </c>
      <c r="AU2" s="1" t="str">
        <f>'(patio_costs)'!AU25</f>
        <v>7300</v>
      </c>
      <c r="AV2" s="1" t="str">
        <f>'(patio_costs)'!AV25</f>
        <v>7400</v>
      </c>
      <c r="AW2" s="1" t="str">
        <f>'(patio_costs)'!AW25</f>
        <v>7500</v>
      </c>
      <c r="AX2" s="1" t="str">
        <f>'(patio_costs)'!AX25</f>
        <v>7600</v>
      </c>
      <c r="AY2" s="1" t="str">
        <f>'(patio_costs)'!AY25</f>
        <v>7700</v>
      </c>
      <c r="AZ2" s="1" t="str">
        <f>'(patio_costs)'!AZ25</f>
        <v>7800</v>
      </c>
      <c r="BA2" s="1" t="str">
        <f>'(patio_costs)'!BA25</f>
        <v>7900</v>
      </c>
      <c r="BB2" s="1" t="str">
        <f>'(patio_costs)'!BB25</f>
        <v>8000</v>
      </c>
      <c r="BC2" s="1" t="str">
        <f>'(patio_costs)'!BC25</f>
        <v>8100</v>
      </c>
      <c r="BD2" s="1" t="str">
        <f>'(patio_costs)'!BD25</f>
        <v>8200</v>
      </c>
      <c r="BE2" s="1" t="str">
        <f>'(patio_costs)'!BE25</f>
        <v>8300</v>
      </c>
      <c r="BF2" s="1" t="str">
        <f>'(patio_costs)'!BF25</f>
        <v>8400</v>
      </c>
      <c r="BG2" s="1" t="str">
        <f>'(patio_costs)'!BG25</f>
        <v>8500</v>
      </c>
      <c r="BH2" s="1" t="str">
        <f>'(patio_costs)'!BH25</f>
        <v>8600</v>
      </c>
      <c r="BI2" s="1" t="str">
        <f>'(patio_costs)'!BI25</f>
        <v>8700</v>
      </c>
      <c r="BJ2" s="1" t="str">
        <f>'(patio_costs)'!BJ25</f>
        <v>8800</v>
      </c>
      <c r="BK2" s="1" t="str">
        <f>'(patio_costs)'!BK25</f>
        <v>8900</v>
      </c>
      <c r="BL2" s="1" t="str">
        <f>'(patio_costs)'!BL25</f>
        <v>9000</v>
      </c>
      <c r="BM2" s="1" t="str">
        <f>'(patio_costs)'!BM25</f>
        <v>9100</v>
      </c>
      <c r="BN2" s="1" t="str">
        <f>'(patio_costs)'!BN25</f>
        <v>9200</v>
      </c>
      <c r="BO2" s="1" t="str">
        <f>'(patio_costs)'!BO25</f>
        <v>9300</v>
      </c>
      <c r="BP2" s="1" t="str">
        <f>'(patio_costs)'!BP25</f>
        <v>9400</v>
      </c>
      <c r="BQ2" s="1" t="str">
        <f>'(patio_costs)'!BQ25</f>
        <v>9500</v>
      </c>
      <c r="BR2" s="1" t="str">
        <f>'(patio_costs)'!BR25</f>
        <v>9600</v>
      </c>
      <c r="BS2" s="1" t="str">
        <f>'(patio_costs)'!BS25</f>
        <v>9700</v>
      </c>
      <c r="BT2" s="1" t="str">
        <f>'(patio_costs)'!BT25</f>
        <v>9800</v>
      </c>
      <c r="BU2" s="1" t="str">
        <f>'(patio_costs)'!BU25</f>
        <v>9900</v>
      </c>
      <c r="BV2" s="1" t="str">
        <f>'(patio_costs)'!BV25</f>
        <v>10000</v>
      </c>
    </row>
    <row r="3" ht="15.75" customHeight="1">
      <c r="A3" s="1" t="str">
        <f>'(patio_costs)'!A26</f>
        <v>2000</v>
      </c>
      <c r="B3" s="1" t="str">
        <f t="array" ref="B3:BV10">'(patio_costs)'!B26:BV33*(1+MARKUP!$Z$6)</f>
        <v>1936.362611</v>
      </c>
      <c r="C3" s="1">
        <v>1957.32394235</v>
      </c>
      <c r="D3" s="1">
        <v>1978.2852738249996</v>
      </c>
      <c r="E3" s="1">
        <v>1999.2466052999996</v>
      </c>
      <c r="F3" s="1">
        <v>2020.2079367749998</v>
      </c>
      <c r="G3" s="1">
        <v>2041.1692682499995</v>
      </c>
      <c r="H3" s="1">
        <v>2062.1227812499997</v>
      </c>
      <c r="I3" s="1">
        <v>2083.0841127249996</v>
      </c>
      <c r="J3" s="1">
        <v>2104.0454441999996</v>
      </c>
      <c r="K3" s="1">
        <v>2125.0067756749995</v>
      </c>
      <c r="L3" s="1">
        <v>2145.9681071499995</v>
      </c>
      <c r="M3" s="1">
        <v>2166.929438625</v>
      </c>
      <c r="N3" s="1">
        <v>2187.8907701</v>
      </c>
      <c r="O3" s="1">
        <v>2208.852101575</v>
      </c>
      <c r="P3" s="1">
        <v>2229.8134330499997</v>
      </c>
      <c r="Q3" s="1">
        <v>2250.7747645249997</v>
      </c>
      <c r="R3" s="1">
        <v>2272.7994086</v>
      </c>
      <c r="S3" s="1">
        <v>2293.7607400749994</v>
      </c>
      <c r="T3" s="1">
        <v>2314.72207155</v>
      </c>
      <c r="U3" s="1">
        <v>2335.6834030249997</v>
      </c>
      <c r="V3" s="1">
        <v>2356.6447344999992</v>
      </c>
      <c r="W3" s="1">
        <v>2377.5982474999996</v>
      </c>
      <c r="X3" s="1">
        <v>2398.5595789749996</v>
      </c>
      <c r="Y3" s="1">
        <v>2419.5209104499995</v>
      </c>
      <c r="Z3" s="1">
        <v>2440.4822419249995</v>
      </c>
      <c r="AA3" s="1">
        <v>2461.4435733999994</v>
      </c>
      <c r="AB3" s="1">
        <v>2482.404904875</v>
      </c>
      <c r="AC3" s="1">
        <v>2503.36623635</v>
      </c>
      <c r="AD3" s="1">
        <v>2524.3275678249997</v>
      </c>
      <c r="AE3" s="1">
        <v>2545.2888992999997</v>
      </c>
      <c r="AF3" s="1">
        <v>2566.2502307749996</v>
      </c>
      <c r="AG3" s="1">
        <v>2587.2115622499996</v>
      </c>
      <c r="AH3" s="1">
        <v>2608.1728937249995</v>
      </c>
      <c r="AI3" s="1">
        <v>2629.1342251999995</v>
      </c>
      <c r="AJ3" s="1">
        <v>2651.1588692749997</v>
      </c>
      <c r="AK3" s="1">
        <v>2672.1202007499996</v>
      </c>
      <c r="AL3" s="1">
        <v>2693.0737137499996</v>
      </c>
      <c r="AM3" s="1">
        <v>2714.0350452249995</v>
      </c>
      <c r="AN3" s="1">
        <v>2734.9963766999995</v>
      </c>
      <c r="AO3" s="1">
        <v>2771.2350083249994</v>
      </c>
      <c r="AP3" s="1">
        <v>2792.1963398</v>
      </c>
      <c r="AQ3" s="1">
        <v>2828.4349714249997</v>
      </c>
      <c r="AR3" s="1">
        <v>2849.3963028999997</v>
      </c>
      <c r="AS3" s="1">
        <v>2870.3576343749996</v>
      </c>
      <c r="AT3" s="1">
        <v>2891.3189658499996</v>
      </c>
      <c r="AU3" s="1">
        <v>2912.2802973249995</v>
      </c>
      <c r="AV3" s="1">
        <v>2933.2416287999995</v>
      </c>
      <c r="AW3" s="1">
        <v>2954.2029602749994</v>
      </c>
      <c r="AX3" s="1">
        <v>2975.1642917499994</v>
      </c>
      <c r="AY3" s="1">
        <v>2996.125623225</v>
      </c>
      <c r="AZ3" s="1">
        <v>3017.0791362249993</v>
      </c>
      <c r="BA3" s="1">
        <v>3038.0404676999997</v>
      </c>
      <c r="BB3" s="1">
        <v>3060.0651117749994</v>
      </c>
      <c r="BC3" s="1">
        <v>3081.0264432499994</v>
      </c>
      <c r="BD3" s="1">
        <v>3101.9877747249993</v>
      </c>
      <c r="BE3" s="1">
        <v>3122.9491061999997</v>
      </c>
      <c r="BF3" s="1">
        <v>3143.9104376749997</v>
      </c>
      <c r="BG3" s="1">
        <v>3164.8717691499996</v>
      </c>
      <c r="BH3" s="1">
        <v>3185.8331006249996</v>
      </c>
      <c r="BI3" s="1">
        <v>3206.7944321</v>
      </c>
      <c r="BJ3" s="1">
        <v>3227.7557635749995</v>
      </c>
      <c r="BK3" s="1">
        <v>3248.71709505</v>
      </c>
      <c r="BL3" s="1">
        <v>3269.6784265249994</v>
      </c>
      <c r="BM3" s="1">
        <v>3290.6397579999993</v>
      </c>
      <c r="BN3" s="1">
        <v>3311.593271</v>
      </c>
      <c r="BO3" s="1">
        <v>3332.5624209499997</v>
      </c>
      <c r="BP3" s="1">
        <v>3353.5159339499996</v>
      </c>
      <c r="BQ3" s="1">
        <v>3374.4772654249996</v>
      </c>
      <c r="BR3" s="1">
        <v>3395.4385968999995</v>
      </c>
      <c r="BS3" s="1">
        <v>3416.399928374999</v>
      </c>
      <c r="BT3" s="1">
        <v>3438.4245724499997</v>
      </c>
      <c r="BU3" s="1">
        <v>3459.3859039249996</v>
      </c>
      <c r="BV3" s="1">
        <v>3480.347235399999</v>
      </c>
    </row>
    <row r="4" ht="15.75" customHeight="1">
      <c r="A4" s="1" t="str">
        <f>'(patio_costs)'!A27</f>
        <v>2100</v>
      </c>
      <c r="B4" s="1">
        <v>1984.1960409249996</v>
      </c>
      <c r="C4" s="1">
        <v>2005.1573723999995</v>
      </c>
      <c r="D4" s="1">
        <v>2026.1187038749997</v>
      </c>
      <c r="E4" s="1">
        <v>2047.08003535</v>
      </c>
      <c r="F4" s="1">
        <v>2068.041366825</v>
      </c>
      <c r="G4" s="1">
        <v>2089.0026983</v>
      </c>
      <c r="H4" s="1">
        <v>2109.9640297749997</v>
      </c>
      <c r="I4" s="1">
        <v>2130.9253612499997</v>
      </c>
      <c r="J4" s="1">
        <v>2151.8866927249996</v>
      </c>
      <c r="K4" s="1">
        <v>2172.8480241999996</v>
      </c>
      <c r="L4" s="1">
        <v>2193.8015372</v>
      </c>
      <c r="M4" s="1">
        <v>2214.7628686749995</v>
      </c>
      <c r="N4" s="1">
        <v>2235.7242001499994</v>
      </c>
      <c r="O4" s="1">
        <v>2256.685531625</v>
      </c>
      <c r="P4" s="1">
        <v>2277.6468630999993</v>
      </c>
      <c r="Q4" s="1">
        <v>2298.6081945749997</v>
      </c>
      <c r="R4" s="1">
        <v>2320.6328386499995</v>
      </c>
      <c r="S4" s="1">
        <v>2341.594170125</v>
      </c>
      <c r="T4" s="1">
        <v>2362.5555016</v>
      </c>
      <c r="U4" s="1">
        <v>2383.516833075</v>
      </c>
      <c r="V4" s="1">
        <v>2404.4781645499997</v>
      </c>
      <c r="W4" s="1">
        <v>2425.4394960249997</v>
      </c>
      <c r="X4" s="1">
        <v>2446.4008274999997</v>
      </c>
      <c r="Y4" s="1">
        <v>2467.3621589749996</v>
      </c>
      <c r="Z4" s="1">
        <v>2488.3156719749995</v>
      </c>
      <c r="AA4" s="1">
        <v>2509.27700345</v>
      </c>
      <c r="AB4" s="1">
        <v>2530.2383349249994</v>
      </c>
      <c r="AC4" s="1">
        <v>2551.1996663999994</v>
      </c>
      <c r="AD4" s="1">
        <v>2572.160997875</v>
      </c>
      <c r="AE4" s="1">
        <v>2593.1223293499993</v>
      </c>
      <c r="AF4" s="1">
        <v>2614.0836608249997</v>
      </c>
      <c r="AG4" s="1">
        <v>2635.0449922999996</v>
      </c>
      <c r="AH4" s="1">
        <v>2656.0063237749996</v>
      </c>
      <c r="AI4" s="1">
        <v>2676.96765525</v>
      </c>
      <c r="AJ4" s="1">
        <v>2698.9922993249997</v>
      </c>
      <c r="AK4" s="1">
        <v>2735.2309309499997</v>
      </c>
      <c r="AL4" s="1">
        <v>2756.1922624249996</v>
      </c>
      <c r="AM4" s="1">
        <v>2792.4308940499996</v>
      </c>
      <c r="AN4" s="1">
        <v>2813.3844070499995</v>
      </c>
      <c r="AO4" s="1">
        <v>2834.3535569999995</v>
      </c>
      <c r="AP4" s="1">
        <v>2855.30707</v>
      </c>
      <c r="AQ4" s="1">
        <v>2876.2684014749993</v>
      </c>
      <c r="AR4" s="1">
        <v>2897.2297329499997</v>
      </c>
      <c r="AS4" s="1">
        <v>2918.1910644249992</v>
      </c>
      <c r="AT4" s="1">
        <v>2939.152395899999</v>
      </c>
      <c r="AU4" s="1">
        <v>2960.1137273749996</v>
      </c>
      <c r="AV4" s="1">
        <v>2981.0750588499996</v>
      </c>
      <c r="AW4" s="1">
        <v>3002.0363903249995</v>
      </c>
      <c r="AX4" s="1">
        <v>3022.9977218</v>
      </c>
      <c r="AY4" s="1">
        <v>3043.9590532749994</v>
      </c>
      <c r="AZ4" s="1">
        <v>3064.9203847499994</v>
      </c>
      <c r="BA4" s="1">
        <v>3085.8817162249993</v>
      </c>
      <c r="BB4" s="1">
        <v>3107.9063602999995</v>
      </c>
      <c r="BC4" s="1">
        <v>3128.867691775</v>
      </c>
      <c r="BD4" s="1">
        <v>3149.8212047749994</v>
      </c>
      <c r="BE4" s="1">
        <v>3170.78253625</v>
      </c>
      <c r="BF4" s="1">
        <v>3191.7438677249997</v>
      </c>
      <c r="BG4" s="1">
        <v>3212.7051991999992</v>
      </c>
      <c r="BH4" s="1">
        <v>3233.666530675</v>
      </c>
      <c r="BI4" s="1">
        <v>3254.627862149999</v>
      </c>
      <c r="BJ4" s="1">
        <v>3275.5891936249996</v>
      </c>
      <c r="BK4" s="1">
        <v>3296.5505250999995</v>
      </c>
      <c r="BL4" s="1">
        <v>3317.5118565749995</v>
      </c>
      <c r="BM4" s="1">
        <v>3338.473188049999</v>
      </c>
      <c r="BN4" s="1">
        <v>3359.434519525</v>
      </c>
      <c r="BO4" s="1">
        <v>3380.3958509999998</v>
      </c>
      <c r="BP4" s="1">
        <v>3401.3571824749993</v>
      </c>
      <c r="BQ4" s="1">
        <v>3422.318513949999</v>
      </c>
      <c r="BR4" s="1">
        <v>3443.2798454249996</v>
      </c>
      <c r="BS4" s="1">
        <v>3464.233358424999</v>
      </c>
      <c r="BT4" s="1">
        <v>3486.2658209749998</v>
      </c>
      <c r="BU4" s="1">
        <v>3507.2193339749997</v>
      </c>
      <c r="BV4" s="1">
        <v>3528.180665449999</v>
      </c>
    </row>
    <row r="5" ht="15.75" customHeight="1">
      <c r="A5" s="1" t="str">
        <f>'(patio_costs)'!A28</f>
        <v>2200</v>
      </c>
      <c r="B5" s="1">
        <v>2032.029470975</v>
      </c>
      <c r="C5" s="1">
        <v>2052.9908024499996</v>
      </c>
      <c r="D5" s="1">
        <v>2073.952133925</v>
      </c>
      <c r="E5" s="1">
        <v>2094.9134653999995</v>
      </c>
      <c r="F5" s="1">
        <v>2115.874796875</v>
      </c>
      <c r="G5" s="1">
        <v>2136.83612835</v>
      </c>
      <c r="H5" s="1">
        <v>2157.7974598249994</v>
      </c>
      <c r="I5" s="1">
        <v>2178.7587912999998</v>
      </c>
      <c r="J5" s="1">
        <v>2199.7201227749993</v>
      </c>
      <c r="K5" s="1">
        <v>2220.6814542499997</v>
      </c>
      <c r="L5" s="1">
        <v>2241.642785725</v>
      </c>
      <c r="M5" s="1">
        <v>2262.6041171999996</v>
      </c>
      <c r="N5" s="1">
        <v>2283.5654486749995</v>
      </c>
      <c r="O5" s="1">
        <v>2304.5267801499995</v>
      </c>
      <c r="P5" s="1">
        <v>2325.48029315</v>
      </c>
      <c r="Q5" s="1">
        <v>2346.4494431</v>
      </c>
      <c r="R5" s="1">
        <v>2368.4662686999995</v>
      </c>
      <c r="S5" s="1">
        <v>2389.427600175</v>
      </c>
      <c r="T5" s="1">
        <v>2410.3889316499994</v>
      </c>
      <c r="U5" s="1">
        <v>2431.350263125</v>
      </c>
      <c r="V5" s="1">
        <v>2452.3115946</v>
      </c>
      <c r="W5" s="1">
        <v>2473.2729260749993</v>
      </c>
      <c r="X5" s="1">
        <v>2494.2342575499997</v>
      </c>
      <c r="Y5" s="1">
        <v>2515.195589024999</v>
      </c>
      <c r="Z5" s="1">
        <v>2536.1569204999996</v>
      </c>
      <c r="AA5" s="1">
        <v>2557.118251975</v>
      </c>
      <c r="AB5" s="1">
        <v>2578.0795834499995</v>
      </c>
      <c r="AC5" s="1">
        <v>2599.040914925</v>
      </c>
      <c r="AD5" s="1">
        <v>2619.994427925</v>
      </c>
      <c r="AE5" s="1">
        <v>2640.9557594</v>
      </c>
      <c r="AF5" s="1">
        <v>2661.9170908749998</v>
      </c>
      <c r="AG5" s="1">
        <v>2682.8784223499997</v>
      </c>
      <c r="AH5" s="1">
        <v>2719.1170539749996</v>
      </c>
      <c r="AI5" s="1">
        <v>2740.0783854499996</v>
      </c>
      <c r="AJ5" s="1">
        <v>2777.3803296749998</v>
      </c>
      <c r="AK5" s="1">
        <v>2798.3416611499993</v>
      </c>
      <c r="AL5" s="1">
        <v>2819.3029926249997</v>
      </c>
      <c r="AM5" s="1">
        <v>2840.2643241</v>
      </c>
      <c r="AN5" s="1">
        <v>2861.2256555749996</v>
      </c>
      <c r="AO5" s="1">
        <v>2882.1869870499995</v>
      </c>
      <c r="AP5" s="1">
        <v>2903.1483185249995</v>
      </c>
      <c r="AQ5" s="1">
        <v>2924.1096499999994</v>
      </c>
      <c r="AR5" s="1">
        <v>2945.070981475</v>
      </c>
      <c r="AS5" s="1">
        <v>2966.0323129499993</v>
      </c>
      <c r="AT5" s="1">
        <v>2986.9936444249993</v>
      </c>
      <c r="AU5" s="1">
        <v>3007.9471574249997</v>
      </c>
      <c r="AV5" s="1">
        <v>3028.908488899999</v>
      </c>
      <c r="AW5" s="1">
        <v>3049.8698203749996</v>
      </c>
      <c r="AX5" s="1">
        <v>3070.8311518499995</v>
      </c>
      <c r="AY5" s="1">
        <v>3091.7924833249995</v>
      </c>
      <c r="AZ5" s="1">
        <v>3112.7538147999994</v>
      </c>
      <c r="BA5" s="1">
        <v>3133.7151462749994</v>
      </c>
      <c r="BB5" s="1">
        <v>3155.73979035</v>
      </c>
      <c r="BC5" s="1">
        <v>3176.701121825</v>
      </c>
      <c r="BD5" s="1">
        <v>3197.6624532999995</v>
      </c>
      <c r="BE5" s="1">
        <v>3218.6237847749994</v>
      </c>
      <c r="BF5" s="1">
        <v>3239.5851162499994</v>
      </c>
      <c r="BG5" s="1">
        <v>3260.546447725</v>
      </c>
      <c r="BH5" s="1">
        <v>3281.5077791999997</v>
      </c>
      <c r="BI5" s="1">
        <v>3302.4612921999997</v>
      </c>
      <c r="BJ5" s="1">
        <v>3323.4226236749987</v>
      </c>
      <c r="BK5" s="1">
        <v>3344.3839551499996</v>
      </c>
      <c r="BL5" s="1">
        <v>3365.345286625</v>
      </c>
      <c r="BM5" s="1">
        <v>3386.306618099999</v>
      </c>
      <c r="BN5" s="1">
        <v>3407.267949575</v>
      </c>
      <c r="BO5" s="1">
        <v>3428.2292810499994</v>
      </c>
      <c r="BP5" s="1">
        <v>3449.1906125249993</v>
      </c>
      <c r="BQ5" s="1">
        <v>3470.1519439999997</v>
      </c>
      <c r="BR5" s="1">
        <v>3491.1132754749997</v>
      </c>
      <c r="BS5" s="1">
        <v>3512.0746069499996</v>
      </c>
      <c r="BT5" s="1">
        <v>3534.0992510249994</v>
      </c>
      <c r="BU5" s="1">
        <v>3555.0605824999993</v>
      </c>
      <c r="BV5" s="1">
        <v>3576.0219139749997</v>
      </c>
    </row>
    <row r="6" ht="15.75" customHeight="1">
      <c r="A6" s="1" t="str">
        <f>'(patio_costs)'!A29</f>
        <v>2300</v>
      </c>
      <c r="B6" s="1">
        <v>2079.8707194999993</v>
      </c>
      <c r="C6" s="1">
        <v>2100.8320509749997</v>
      </c>
      <c r="D6" s="1">
        <v>2121.79338245</v>
      </c>
      <c r="E6" s="1">
        <v>2142.7468954499996</v>
      </c>
      <c r="F6" s="1">
        <v>2163.7082269249995</v>
      </c>
      <c r="G6" s="1">
        <v>2184.6695583999995</v>
      </c>
      <c r="H6" s="1">
        <v>2205.630889875</v>
      </c>
      <c r="I6" s="1">
        <v>2226.59222135</v>
      </c>
      <c r="J6" s="1">
        <v>2247.5535528249998</v>
      </c>
      <c r="K6" s="1">
        <v>2268.5148842999997</v>
      </c>
      <c r="L6" s="1">
        <v>2289.4762157749997</v>
      </c>
      <c r="M6" s="1">
        <v>2310.4375472499996</v>
      </c>
      <c r="N6" s="1">
        <v>2331.3988787249996</v>
      </c>
      <c r="O6" s="1">
        <v>2352.3602101999995</v>
      </c>
      <c r="P6" s="1">
        <v>2373.321541675</v>
      </c>
      <c r="Q6" s="1">
        <v>2394.28287315</v>
      </c>
      <c r="R6" s="1">
        <v>2416.3075172249996</v>
      </c>
      <c r="S6" s="1">
        <v>2437.2610302249996</v>
      </c>
      <c r="T6" s="1">
        <v>2458.2301801749995</v>
      </c>
      <c r="U6" s="1">
        <v>2479.1836931749995</v>
      </c>
      <c r="V6" s="1">
        <v>2500.1450246499994</v>
      </c>
      <c r="W6" s="1">
        <v>2521.106356125</v>
      </c>
      <c r="X6" s="1">
        <v>2542.0676875999998</v>
      </c>
      <c r="Y6" s="1">
        <v>2563.0290190749997</v>
      </c>
      <c r="Z6" s="1">
        <v>2583.9903505499997</v>
      </c>
      <c r="AA6" s="1">
        <v>2604.9516820249996</v>
      </c>
      <c r="AB6" s="1">
        <v>2625.9130134999996</v>
      </c>
      <c r="AC6" s="1">
        <v>2646.8743449749995</v>
      </c>
      <c r="AD6" s="1">
        <v>2667.8356764499995</v>
      </c>
      <c r="AE6" s="1">
        <v>2704.074308075</v>
      </c>
      <c r="AF6" s="1">
        <v>2725.03563955</v>
      </c>
      <c r="AG6" s="1">
        <v>2761.2742711749993</v>
      </c>
      <c r="AH6" s="1">
        <v>2782.2356026499997</v>
      </c>
      <c r="AI6" s="1">
        <v>2803.1891156499996</v>
      </c>
      <c r="AJ6" s="1">
        <v>2825.2215782</v>
      </c>
      <c r="AK6" s="1">
        <v>2846.1750911999998</v>
      </c>
      <c r="AL6" s="1">
        <v>2867.1364226749997</v>
      </c>
      <c r="AM6" s="1">
        <v>2888.0977541499997</v>
      </c>
      <c r="AN6" s="1">
        <v>2909.0590856249996</v>
      </c>
      <c r="AO6" s="1">
        <v>2930.0204170999996</v>
      </c>
      <c r="AP6" s="1">
        <v>2950.9817485749995</v>
      </c>
      <c r="AQ6" s="1">
        <v>2971.9430800499995</v>
      </c>
      <c r="AR6" s="1">
        <v>2992.9044115249994</v>
      </c>
      <c r="AS6" s="1">
        <v>3013.865743</v>
      </c>
      <c r="AT6" s="1">
        <v>3034.827074475</v>
      </c>
      <c r="AU6" s="1">
        <v>3055.7884059499997</v>
      </c>
      <c r="AV6" s="1">
        <v>3076.7497374249992</v>
      </c>
      <c r="AW6" s="1">
        <v>3097.703250425</v>
      </c>
      <c r="AX6" s="1">
        <v>3118.6724003749996</v>
      </c>
      <c r="AY6" s="1">
        <v>3139.6259133749995</v>
      </c>
      <c r="AZ6" s="1">
        <v>3160.5872448499995</v>
      </c>
      <c r="BA6" s="1">
        <v>3181.5485763249994</v>
      </c>
      <c r="BB6" s="1">
        <v>3203.573220399999</v>
      </c>
      <c r="BC6" s="1">
        <v>3224.5345518749996</v>
      </c>
      <c r="BD6" s="1">
        <v>3245.49588335</v>
      </c>
      <c r="BE6" s="1">
        <v>3266.4572148249995</v>
      </c>
      <c r="BF6" s="1">
        <v>3287.4185462999994</v>
      </c>
      <c r="BG6" s="1">
        <v>3308.379877774999</v>
      </c>
      <c r="BH6" s="1">
        <v>3329.34120925</v>
      </c>
      <c r="BI6" s="1">
        <v>3350.3025407249993</v>
      </c>
      <c r="BJ6" s="1">
        <v>3371.2638721999992</v>
      </c>
      <c r="BK6" s="1">
        <v>3392.2252036749996</v>
      </c>
      <c r="BL6" s="1">
        <v>3413.178716674999</v>
      </c>
      <c r="BM6" s="1">
        <v>3434.1400481499995</v>
      </c>
      <c r="BN6" s="1">
        <v>3455.1013796249995</v>
      </c>
      <c r="BO6" s="1">
        <v>3476.0627110999994</v>
      </c>
      <c r="BP6" s="1">
        <v>3497.0240425749994</v>
      </c>
      <c r="BQ6" s="1">
        <v>3517.98537405</v>
      </c>
      <c r="BR6" s="1">
        <v>3538.9467055249997</v>
      </c>
      <c r="BS6" s="1">
        <v>3559.9080369999992</v>
      </c>
      <c r="BT6" s="1">
        <v>3581.9326810749994</v>
      </c>
      <c r="BU6" s="1">
        <v>3602.89401255</v>
      </c>
      <c r="BV6" s="1">
        <v>3623.855344024999</v>
      </c>
    </row>
    <row r="7" ht="15.75" customHeight="1">
      <c r="A7" s="1" t="str">
        <f>'(patio_costs)'!A30</f>
        <v>2400</v>
      </c>
      <c r="B7" s="1">
        <v>2127.70414955</v>
      </c>
      <c r="C7" s="1">
        <v>2148.6654810249997</v>
      </c>
      <c r="D7" s="1">
        <v>2169.6268124999997</v>
      </c>
      <c r="E7" s="1">
        <v>2190.5881439749996</v>
      </c>
      <c r="F7" s="1">
        <v>2211.5494754499996</v>
      </c>
      <c r="G7" s="1">
        <v>2232.5108069249995</v>
      </c>
      <c r="H7" s="1">
        <v>2253.4721383999995</v>
      </c>
      <c r="I7" s="1">
        <v>2274.4256513999994</v>
      </c>
      <c r="J7" s="1">
        <v>2295.386982875</v>
      </c>
      <c r="K7" s="1">
        <v>2316.3483143499993</v>
      </c>
      <c r="L7" s="1">
        <v>2337.3096458249997</v>
      </c>
      <c r="M7" s="1">
        <v>2358.2709773</v>
      </c>
      <c r="N7" s="1">
        <v>2379.2323087749996</v>
      </c>
      <c r="O7" s="1">
        <v>2400.1936402499996</v>
      </c>
      <c r="P7" s="1">
        <v>2421.1549717249995</v>
      </c>
      <c r="Q7" s="1">
        <v>2442.1163031999995</v>
      </c>
      <c r="R7" s="1">
        <v>2464.1409472749997</v>
      </c>
      <c r="S7" s="1">
        <v>2485.1022787499996</v>
      </c>
      <c r="T7" s="1">
        <v>2506.0636102249996</v>
      </c>
      <c r="U7" s="1">
        <v>2527.0249416999995</v>
      </c>
      <c r="V7" s="1">
        <v>2547.9862731749995</v>
      </c>
      <c r="W7" s="1">
        <v>2568.9476046499994</v>
      </c>
      <c r="X7" s="1">
        <v>2589.9011176499994</v>
      </c>
      <c r="Y7" s="1">
        <v>2610.862449125</v>
      </c>
      <c r="Z7" s="1">
        <v>2631.8237805999993</v>
      </c>
      <c r="AA7" s="1">
        <v>2652.7851120749997</v>
      </c>
      <c r="AB7" s="1">
        <v>2673.74644355</v>
      </c>
      <c r="AC7" s="1">
        <v>2709.9850751749996</v>
      </c>
      <c r="AD7" s="1">
        <v>2730.9464066499995</v>
      </c>
      <c r="AE7" s="1">
        <v>2767.1850382749994</v>
      </c>
      <c r="AF7" s="1">
        <v>2788.1463697499994</v>
      </c>
      <c r="AG7" s="1">
        <v>2809.107701225</v>
      </c>
      <c r="AH7" s="1">
        <v>2830.0690326999993</v>
      </c>
      <c r="AI7" s="1">
        <v>2851.0303641749997</v>
      </c>
      <c r="AJ7" s="1">
        <v>2873.0550082499994</v>
      </c>
      <c r="AK7" s="1">
        <v>2894.0163397249994</v>
      </c>
      <c r="AL7" s="1">
        <v>2914.9776712</v>
      </c>
      <c r="AM7" s="1">
        <v>2935.9311841999993</v>
      </c>
      <c r="AN7" s="1">
        <v>2956.8925156749997</v>
      </c>
      <c r="AO7" s="1">
        <v>2977.853847149999</v>
      </c>
      <c r="AP7" s="1">
        <v>2998.8151786249996</v>
      </c>
      <c r="AQ7" s="1">
        <v>3019.7765100999995</v>
      </c>
      <c r="AR7" s="1">
        <v>3040.7378415749995</v>
      </c>
      <c r="AS7" s="1">
        <v>3061.69917305</v>
      </c>
      <c r="AT7" s="1">
        <v>3082.6605045249994</v>
      </c>
      <c r="AU7" s="1">
        <v>3103.6218359999993</v>
      </c>
      <c r="AV7" s="1">
        <v>3124.5831674749998</v>
      </c>
      <c r="AW7" s="1">
        <v>3145.5444989499997</v>
      </c>
      <c r="AX7" s="1">
        <v>3166.5058304249997</v>
      </c>
      <c r="AY7" s="1">
        <v>3187.4671619</v>
      </c>
      <c r="AZ7" s="1">
        <v>3208.428493374999</v>
      </c>
      <c r="BA7" s="1">
        <v>3229.3898248499995</v>
      </c>
      <c r="BB7" s="1">
        <v>3251.4066504499992</v>
      </c>
      <c r="BC7" s="1">
        <v>3272.375800399999</v>
      </c>
      <c r="BD7" s="1">
        <v>3293.3293133999996</v>
      </c>
      <c r="BE7" s="1">
        <v>3314.2906448749995</v>
      </c>
      <c r="BF7" s="1">
        <v>3335.251976349999</v>
      </c>
      <c r="BG7" s="1">
        <v>3356.213307825</v>
      </c>
      <c r="BH7" s="1">
        <v>3377.1746392999994</v>
      </c>
      <c r="BI7" s="1">
        <v>3398.1359707749994</v>
      </c>
      <c r="BJ7" s="1">
        <v>3419.0973022499993</v>
      </c>
      <c r="BK7" s="1">
        <v>3440.0586337249997</v>
      </c>
      <c r="BL7" s="1">
        <v>3461.0199651999997</v>
      </c>
      <c r="BM7" s="1">
        <v>3481.981296674999</v>
      </c>
      <c r="BN7" s="1">
        <v>3502.94262815</v>
      </c>
      <c r="BO7" s="1">
        <v>3523.903959624999</v>
      </c>
      <c r="BP7" s="1">
        <v>3544.8652910999995</v>
      </c>
      <c r="BQ7" s="1">
        <v>3565.8266225750003</v>
      </c>
      <c r="BR7" s="1">
        <v>3586.7801355749993</v>
      </c>
      <c r="BS7" s="1">
        <v>3607.7414670499993</v>
      </c>
      <c r="BT7" s="1">
        <v>3629.7661111249995</v>
      </c>
      <c r="BU7" s="1">
        <v>3650.727442599999</v>
      </c>
      <c r="BV7" s="1">
        <v>3671.688774075</v>
      </c>
    </row>
    <row r="8" ht="15.75" customHeight="1">
      <c r="A8" s="1" t="str">
        <f>'(patio_costs)'!A31</f>
        <v>2500</v>
      </c>
      <c r="B8" s="1">
        <v>2175.5375796</v>
      </c>
      <c r="C8" s="1">
        <v>2196.4989110749993</v>
      </c>
      <c r="D8" s="1">
        <v>2217.4602425499997</v>
      </c>
      <c r="E8" s="1">
        <v>2238.4215740249992</v>
      </c>
      <c r="F8" s="1">
        <v>2259.3829054999997</v>
      </c>
      <c r="G8" s="1">
        <v>2280.344236975</v>
      </c>
      <c r="H8" s="1">
        <v>2301.3055684499996</v>
      </c>
      <c r="I8" s="1">
        <v>2322.2668999249995</v>
      </c>
      <c r="J8" s="1">
        <v>2343.2282314</v>
      </c>
      <c r="K8" s="1">
        <v>2364.1895628749994</v>
      </c>
      <c r="L8" s="1">
        <v>2385.15089435</v>
      </c>
      <c r="M8" s="1">
        <v>2406.1122258249993</v>
      </c>
      <c r="N8" s="1">
        <v>2427.0657388249997</v>
      </c>
      <c r="O8" s="1">
        <v>2448.0270702999997</v>
      </c>
      <c r="P8" s="1">
        <v>2468.9884017749996</v>
      </c>
      <c r="Q8" s="1">
        <v>2489.9497332499996</v>
      </c>
      <c r="R8" s="1">
        <v>2511.9743773249993</v>
      </c>
      <c r="S8" s="1">
        <v>2532.9357087999997</v>
      </c>
      <c r="T8" s="1">
        <v>2553.897040274999</v>
      </c>
      <c r="U8" s="1">
        <v>2574.8583717499996</v>
      </c>
      <c r="V8" s="1">
        <v>2595.819703225</v>
      </c>
      <c r="W8" s="1">
        <v>2616.7810346999995</v>
      </c>
      <c r="X8" s="1">
        <v>2637.7423661749995</v>
      </c>
      <c r="Y8" s="1">
        <v>2658.70369765</v>
      </c>
      <c r="Z8" s="1">
        <v>2694.9423292749993</v>
      </c>
      <c r="AA8" s="1">
        <v>2715.9036607499997</v>
      </c>
      <c r="AB8" s="1">
        <v>2752.1422923749997</v>
      </c>
      <c r="AC8" s="1">
        <v>2773.1036238499996</v>
      </c>
      <c r="AD8" s="1">
        <v>2794.0571368499996</v>
      </c>
      <c r="AE8" s="1">
        <v>2815.0184683249995</v>
      </c>
      <c r="AF8" s="1">
        <v>2835.9797998</v>
      </c>
      <c r="AG8" s="1">
        <v>2856.941131275</v>
      </c>
      <c r="AH8" s="1">
        <v>2877.9024627499994</v>
      </c>
      <c r="AI8" s="1">
        <v>2898.8637942249998</v>
      </c>
      <c r="AJ8" s="1">
        <v>2920.8884382999995</v>
      </c>
      <c r="AK8" s="1">
        <v>2941.849769775</v>
      </c>
      <c r="AL8" s="1">
        <v>2962.8111012499994</v>
      </c>
      <c r="AM8" s="1">
        <v>2983.7724327249994</v>
      </c>
      <c r="AN8" s="1">
        <v>3004.7337641999993</v>
      </c>
      <c r="AO8" s="1">
        <v>3025.6950956749993</v>
      </c>
      <c r="AP8" s="1">
        <v>3046.6564271499997</v>
      </c>
      <c r="AQ8" s="1">
        <v>3067.6177586249996</v>
      </c>
      <c r="AR8" s="1">
        <v>3088.5712716249996</v>
      </c>
      <c r="AS8" s="1">
        <v>3109.5326030999995</v>
      </c>
      <c r="AT8" s="1">
        <v>3130.4939345749995</v>
      </c>
      <c r="AU8" s="1">
        <v>3151.45526605</v>
      </c>
      <c r="AV8" s="1">
        <v>3172.416597525</v>
      </c>
      <c r="AW8" s="1">
        <v>3193.3779289999998</v>
      </c>
      <c r="AX8" s="1">
        <v>3214.3392604749993</v>
      </c>
      <c r="AY8" s="1">
        <v>3235.30059195</v>
      </c>
      <c r="AZ8" s="1">
        <v>3256.2619234249996</v>
      </c>
      <c r="BA8" s="1">
        <v>3277.2232548999996</v>
      </c>
      <c r="BB8" s="1">
        <v>3299.2478989749998</v>
      </c>
      <c r="BC8" s="1">
        <v>3320.2092304499993</v>
      </c>
      <c r="BD8" s="1">
        <v>3341.170561925</v>
      </c>
      <c r="BE8" s="1">
        <v>3362.124074924999</v>
      </c>
      <c r="BF8" s="1">
        <v>3383.085406399999</v>
      </c>
      <c r="BG8" s="1">
        <v>3404.046737875</v>
      </c>
      <c r="BH8" s="1">
        <v>3425.0080693499995</v>
      </c>
      <c r="BI8" s="1">
        <v>3445.9694008249994</v>
      </c>
      <c r="BJ8" s="1">
        <v>3466.9307323</v>
      </c>
      <c r="BK8" s="1">
        <v>3487.8920637749998</v>
      </c>
      <c r="BL8" s="1">
        <v>3508.8533952499993</v>
      </c>
      <c r="BM8" s="1">
        <v>3529.814726724999</v>
      </c>
      <c r="BN8" s="1">
        <v>3550.7760582</v>
      </c>
      <c r="BO8" s="1">
        <v>3571.7373896749996</v>
      </c>
      <c r="BP8" s="1">
        <v>3592.6987211499995</v>
      </c>
      <c r="BQ8" s="1">
        <v>3613.6600526249995</v>
      </c>
      <c r="BR8" s="1">
        <v>3634.6213841</v>
      </c>
      <c r="BS8" s="1">
        <v>3655.582715574999</v>
      </c>
      <c r="BT8" s="1">
        <v>3677.6073596499996</v>
      </c>
      <c r="BU8" s="1">
        <v>3698.560872649999</v>
      </c>
      <c r="BV8" s="1">
        <v>3719.522204125</v>
      </c>
    </row>
    <row r="9" ht="15.75" customHeight="1">
      <c r="A9" s="1" t="str">
        <f>'(patio_costs)'!A32</f>
        <v>2600</v>
      </c>
      <c r="B9" s="1">
        <v>2223.378828125</v>
      </c>
      <c r="C9" s="1">
        <v>2244.332341125</v>
      </c>
      <c r="D9" s="1">
        <v>2265.2936726</v>
      </c>
      <c r="E9" s="1">
        <v>2286.2550040749998</v>
      </c>
      <c r="F9" s="1">
        <v>2307.2163355499997</v>
      </c>
      <c r="G9" s="1">
        <v>2328.1776670249997</v>
      </c>
      <c r="H9" s="1">
        <v>2349.1389984999996</v>
      </c>
      <c r="I9" s="1">
        <v>2370.1003299749996</v>
      </c>
      <c r="J9" s="1">
        <v>2391.0616614499995</v>
      </c>
      <c r="K9" s="1">
        <v>2412.0229929249995</v>
      </c>
      <c r="L9" s="1">
        <v>2432.9843244</v>
      </c>
      <c r="M9" s="1">
        <v>2453.945655875</v>
      </c>
      <c r="N9" s="1">
        <v>2474.90698735</v>
      </c>
      <c r="O9" s="1">
        <v>2495.8683188249997</v>
      </c>
      <c r="P9" s="1">
        <v>2516.8218318249997</v>
      </c>
      <c r="Q9" s="1">
        <v>2537.7909817749996</v>
      </c>
      <c r="R9" s="1">
        <v>2559.807807375</v>
      </c>
      <c r="S9" s="1">
        <v>2580.7691388499998</v>
      </c>
      <c r="T9" s="1">
        <v>2601.7304703249997</v>
      </c>
      <c r="U9" s="1">
        <v>2622.6918017999997</v>
      </c>
      <c r="V9" s="1">
        <v>2643.6531332749996</v>
      </c>
      <c r="W9" s="1">
        <v>2664.6144647499996</v>
      </c>
      <c r="X9" s="1">
        <v>2700.8530963749995</v>
      </c>
      <c r="Y9" s="1">
        <v>2721.81442785</v>
      </c>
      <c r="Z9" s="1">
        <v>2758.053059475</v>
      </c>
      <c r="AA9" s="1">
        <v>2779.01439095</v>
      </c>
      <c r="AB9" s="1">
        <v>2799.9757224249993</v>
      </c>
      <c r="AC9" s="1">
        <v>2820.9370538999997</v>
      </c>
      <c r="AD9" s="1">
        <v>2841.8983853749996</v>
      </c>
      <c r="AE9" s="1">
        <v>2862.8518983749996</v>
      </c>
      <c r="AF9" s="1">
        <v>2883.8210483249995</v>
      </c>
      <c r="AG9" s="1">
        <v>2904.7745613249995</v>
      </c>
      <c r="AH9" s="1">
        <v>2925.7358927999994</v>
      </c>
      <c r="AI9" s="1">
        <v>2946.6972242749994</v>
      </c>
      <c r="AJ9" s="1">
        <v>2968.7218683499996</v>
      </c>
      <c r="AK9" s="1">
        <v>2989.6831998249995</v>
      </c>
      <c r="AL9" s="1">
        <v>3010.6445312999995</v>
      </c>
      <c r="AM9" s="1">
        <v>3031.6058627749994</v>
      </c>
      <c r="AN9" s="1">
        <v>3052.56719425</v>
      </c>
      <c r="AO9" s="1">
        <v>3073.528525725</v>
      </c>
      <c r="AP9" s="1">
        <v>3094.4898571999997</v>
      </c>
      <c r="AQ9" s="1">
        <v>3115.4511886749997</v>
      </c>
      <c r="AR9" s="1">
        <v>3136.4125201499996</v>
      </c>
      <c r="AS9" s="1">
        <v>3157.373851624999</v>
      </c>
      <c r="AT9" s="1">
        <v>3178.3351830999995</v>
      </c>
      <c r="AU9" s="1">
        <v>3199.2886961</v>
      </c>
      <c r="AV9" s="1">
        <v>3220.250027575</v>
      </c>
      <c r="AW9" s="1">
        <v>3241.2113590499994</v>
      </c>
      <c r="AX9" s="1">
        <v>3262.1726905250002</v>
      </c>
      <c r="AY9" s="1">
        <v>3283.1340219999993</v>
      </c>
      <c r="AZ9" s="1">
        <v>3304.0953534749997</v>
      </c>
      <c r="BA9" s="1">
        <v>3325.056684949999</v>
      </c>
      <c r="BB9" s="1">
        <v>3347.0813290249994</v>
      </c>
      <c r="BC9" s="1">
        <v>3368.0426604999993</v>
      </c>
      <c r="BD9" s="1">
        <v>3389.0039919749997</v>
      </c>
      <c r="BE9" s="1">
        <v>3409.9653234499997</v>
      </c>
      <c r="BF9" s="1">
        <v>3430.926654924999</v>
      </c>
      <c r="BG9" s="1">
        <v>3451.8879863999996</v>
      </c>
      <c r="BH9" s="1">
        <v>3472.849317875</v>
      </c>
      <c r="BI9" s="1">
        <v>3493.8106493499995</v>
      </c>
      <c r="BJ9" s="1">
        <v>3514.7719808249994</v>
      </c>
      <c r="BK9" s="1">
        <v>3535.725493825</v>
      </c>
      <c r="BL9" s="1">
        <v>3556.6868252999993</v>
      </c>
      <c r="BM9" s="1">
        <v>3577.648156775</v>
      </c>
      <c r="BN9" s="1">
        <v>3598.6094882499997</v>
      </c>
      <c r="BO9" s="1">
        <v>3619.5708197249996</v>
      </c>
      <c r="BP9" s="1">
        <v>3640.532151199999</v>
      </c>
      <c r="BQ9" s="1">
        <v>3661.4934826749995</v>
      </c>
      <c r="BR9" s="1">
        <v>3682.454814149999</v>
      </c>
      <c r="BS9" s="1">
        <v>3703.4161456249994</v>
      </c>
      <c r="BT9" s="1">
        <v>3725.4407896999996</v>
      </c>
      <c r="BU9" s="1">
        <v>3746.402121174999</v>
      </c>
      <c r="BV9" s="1">
        <v>3767.3634526499995</v>
      </c>
    </row>
    <row r="10" ht="15.75" customHeight="1">
      <c r="A10" s="1" t="str">
        <f>'(patio_costs)'!A33</f>
        <v>2700</v>
      </c>
      <c r="B10" s="1">
        <v>2271.2122581749995</v>
      </c>
      <c r="C10" s="1">
        <v>2292.1735896499995</v>
      </c>
      <c r="D10" s="1">
        <v>2313.134921125</v>
      </c>
      <c r="E10" s="1">
        <v>2334.0962526</v>
      </c>
      <c r="F10" s="1">
        <v>2355.057584075</v>
      </c>
      <c r="G10" s="1">
        <v>2376.0110970749993</v>
      </c>
      <c r="H10" s="1">
        <v>2396.97242855</v>
      </c>
      <c r="I10" s="1">
        <v>2417.9337600249996</v>
      </c>
      <c r="J10" s="1">
        <v>2438.8950914999996</v>
      </c>
      <c r="K10" s="1">
        <v>2459.856422975</v>
      </c>
      <c r="L10" s="1">
        <v>2480.8177544499995</v>
      </c>
      <c r="M10" s="1">
        <v>2501.779085925</v>
      </c>
      <c r="N10" s="1">
        <v>2522.7404173999994</v>
      </c>
      <c r="O10" s="1">
        <v>2543.7017488749993</v>
      </c>
      <c r="P10" s="1">
        <v>2564.6630803499997</v>
      </c>
      <c r="Q10" s="1">
        <v>2585.6244118249997</v>
      </c>
      <c r="R10" s="1">
        <v>2607.6490558999994</v>
      </c>
      <c r="S10" s="1">
        <v>2628.610387375</v>
      </c>
      <c r="T10" s="1">
        <v>2649.57171885</v>
      </c>
      <c r="U10" s="1">
        <v>2670.5252318499993</v>
      </c>
      <c r="V10" s="1">
        <v>2706.7716819499997</v>
      </c>
      <c r="W10" s="1">
        <v>2727.72519495</v>
      </c>
      <c r="X10" s="1">
        <v>2763.9638265749995</v>
      </c>
      <c r="Y10" s="1">
        <v>2784.9251580499995</v>
      </c>
      <c r="Z10" s="1">
        <v>2805.8864895249994</v>
      </c>
      <c r="AA10" s="1">
        <v>2826.8478209999994</v>
      </c>
      <c r="AB10" s="1">
        <v>2847.809152475</v>
      </c>
      <c r="AC10" s="1">
        <v>2868.7704839499993</v>
      </c>
      <c r="AD10" s="1">
        <v>2889.7318154249997</v>
      </c>
      <c r="AE10" s="1">
        <v>2910.6931468999996</v>
      </c>
      <c r="AF10" s="1">
        <v>2931.6544783749996</v>
      </c>
      <c r="AG10" s="1">
        <v>2952.6158098499996</v>
      </c>
      <c r="AH10" s="1">
        <v>2973.5771413249995</v>
      </c>
      <c r="AI10" s="1">
        <v>2994.5384727999995</v>
      </c>
      <c r="AJ10" s="1">
        <v>3016.5631168749997</v>
      </c>
      <c r="AK10" s="1">
        <v>3037.5244483499996</v>
      </c>
      <c r="AL10" s="1">
        <v>3058.47796135</v>
      </c>
      <c r="AM10" s="1">
        <v>3079.4392928249995</v>
      </c>
      <c r="AN10" s="1">
        <v>3100.4006242999994</v>
      </c>
      <c r="AO10" s="1">
        <v>3121.361955775</v>
      </c>
      <c r="AP10" s="1">
        <v>3142.32328725</v>
      </c>
      <c r="AQ10" s="1">
        <v>3163.2846187249993</v>
      </c>
      <c r="AR10" s="1">
        <v>3184.2459501999992</v>
      </c>
      <c r="AS10" s="1">
        <v>3205.207281674999</v>
      </c>
      <c r="AT10" s="1">
        <v>3226.1686131499996</v>
      </c>
      <c r="AU10" s="1">
        <v>3247.1299446249996</v>
      </c>
      <c r="AV10" s="1">
        <v>3268.0912760999995</v>
      </c>
      <c r="AW10" s="1">
        <v>3289.052607575</v>
      </c>
      <c r="AX10" s="1">
        <v>3310.013939049999</v>
      </c>
      <c r="AY10" s="1">
        <v>3330.975270525</v>
      </c>
      <c r="AZ10" s="1">
        <v>3351.928783524999</v>
      </c>
      <c r="BA10" s="1">
        <v>3372.8901149999997</v>
      </c>
      <c r="BB10" s="1">
        <v>3394.9147590749994</v>
      </c>
      <c r="BC10" s="1">
        <v>3415.876090549999</v>
      </c>
      <c r="BD10" s="1">
        <v>3436.837422025</v>
      </c>
      <c r="BE10" s="1">
        <v>3457.7987534999997</v>
      </c>
      <c r="BF10" s="1">
        <v>3478.7600849749992</v>
      </c>
      <c r="BG10" s="1">
        <v>3499.72141645</v>
      </c>
      <c r="BH10" s="1">
        <v>3520.682747924999</v>
      </c>
      <c r="BI10" s="1">
        <v>3541.6440793999996</v>
      </c>
      <c r="BJ10" s="1">
        <v>3562.6054108749995</v>
      </c>
      <c r="BK10" s="1">
        <v>3583.5667423499995</v>
      </c>
      <c r="BL10" s="1">
        <v>3604.528073825</v>
      </c>
      <c r="BM10" s="1">
        <v>3625.489405299999</v>
      </c>
      <c r="BN10" s="1">
        <v>3646.4429182999997</v>
      </c>
      <c r="BO10" s="1">
        <v>3667.4042497749992</v>
      </c>
      <c r="BP10" s="1">
        <v>3688.3655812499997</v>
      </c>
      <c r="BQ10" s="1">
        <v>3709.326912725</v>
      </c>
      <c r="BR10" s="1">
        <v>3730.288244199999</v>
      </c>
      <c r="BS10" s="1">
        <v>3751.2495756749995</v>
      </c>
      <c r="BT10" s="1">
        <v>3773.2742197499997</v>
      </c>
      <c r="BU10" s="1">
        <v>3765.5261110249994</v>
      </c>
      <c r="BV10" s="1">
        <v>3786.4874424999994</v>
      </c>
    </row>
    <row r="11" ht="15.75" customHeight="1">
      <c r="B11" s="1" t="s">
        <v>746</v>
      </c>
      <c r="C11" s="1" t="s">
        <v>746</v>
      </c>
      <c r="D11" s="1" t="s">
        <v>746</v>
      </c>
      <c r="E11" s="1" t="s">
        <v>746</v>
      </c>
      <c r="F11" s="1" t="s">
        <v>746</v>
      </c>
      <c r="G11" s="1" t="s">
        <v>746</v>
      </c>
      <c r="H11" s="1" t="s">
        <v>746</v>
      </c>
      <c r="I11" s="1" t="s">
        <v>746</v>
      </c>
      <c r="J11" s="1" t="s">
        <v>746</v>
      </c>
      <c r="K11" s="1" t="s">
        <v>746</v>
      </c>
      <c r="L11" s="1" t="s">
        <v>746</v>
      </c>
      <c r="M11" s="1" t="s">
        <v>746</v>
      </c>
      <c r="N11" s="1" t="s">
        <v>746</v>
      </c>
      <c r="O11" s="1" t="s">
        <v>746</v>
      </c>
      <c r="P11" s="1" t="s">
        <v>746</v>
      </c>
      <c r="Q11" s="1" t="s">
        <v>746</v>
      </c>
      <c r="R11" s="1" t="s">
        <v>746</v>
      </c>
      <c r="S11" s="1" t="s">
        <v>746</v>
      </c>
      <c r="T11" s="1" t="s">
        <v>746</v>
      </c>
      <c r="U11" s="1" t="s">
        <v>746</v>
      </c>
      <c r="V11" s="1" t="s">
        <v>746</v>
      </c>
      <c r="W11" s="1" t="s">
        <v>746</v>
      </c>
      <c r="X11" s="1" t="s">
        <v>746</v>
      </c>
      <c r="Y11" s="1" t="s">
        <v>746</v>
      </c>
      <c r="Z11" s="1" t="s">
        <v>746</v>
      </c>
      <c r="AA11" s="1" t="s">
        <v>746</v>
      </c>
      <c r="AB11" s="1" t="s">
        <v>746</v>
      </c>
      <c r="AC11" s="1" t="s">
        <v>746</v>
      </c>
      <c r="AD11" s="1" t="s">
        <v>746</v>
      </c>
      <c r="AE11" s="1" t="s">
        <v>746</v>
      </c>
      <c r="AF11" s="1" t="s">
        <v>746</v>
      </c>
      <c r="AG11" s="1" t="s">
        <v>746</v>
      </c>
      <c r="AH11" s="1" t="s">
        <v>746</v>
      </c>
      <c r="AI11" s="1" t="s">
        <v>746</v>
      </c>
      <c r="AJ11" s="1" t="s">
        <v>746</v>
      </c>
      <c r="AK11" s="1" t="s">
        <v>746</v>
      </c>
      <c r="AL11" s="1" t="s">
        <v>746</v>
      </c>
      <c r="AM11" s="1" t="s">
        <v>746</v>
      </c>
      <c r="AN11" s="1" t="s">
        <v>746</v>
      </c>
      <c r="AO11" s="1" t="s">
        <v>746</v>
      </c>
      <c r="AP11" s="1" t="s">
        <v>746</v>
      </c>
      <c r="AQ11" s="1" t="s">
        <v>746</v>
      </c>
      <c r="AR11" s="1" t="s">
        <v>746</v>
      </c>
      <c r="AS11" s="1" t="s">
        <v>746</v>
      </c>
      <c r="AT11" s="1" t="s">
        <v>746</v>
      </c>
      <c r="AU11" s="1" t="s">
        <v>746</v>
      </c>
      <c r="AV11" s="1" t="s">
        <v>746</v>
      </c>
      <c r="AW11" s="1" t="s">
        <v>746</v>
      </c>
      <c r="AX11" s="1" t="s">
        <v>746</v>
      </c>
      <c r="AY11" s="1" t="s">
        <v>746</v>
      </c>
      <c r="AZ11" s="1" t="s">
        <v>746</v>
      </c>
      <c r="BA11" s="1" t="s">
        <v>746</v>
      </c>
      <c r="BB11" s="1" t="s">
        <v>746</v>
      </c>
      <c r="BC11" s="1" t="s">
        <v>746</v>
      </c>
      <c r="BD11" s="1" t="s">
        <v>746</v>
      </c>
      <c r="BE11" s="1" t="s">
        <v>746</v>
      </c>
      <c r="BF11" s="1" t="s">
        <v>746</v>
      </c>
      <c r="BG11" s="1" t="s">
        <v>746</v>
      </c>
      <c r="BH11" s="1" t="s">
        <v>746</v>
      </c>
      <c r="BI11" s="1" t="s">
        <v>746</v>
      </c>
      <c r="BJ11" s="1" t="s">
        <v>746</v>
      </c>
      <c r="BK11" s="1" t="s">
        <v>746</v>
      </c>
      <c r="BL11" s="1" t="s">
        <v>746</v>
      </c>
      <c r="BM11" s="1" t="s">
        <v>746</v>
      </c>
      <c r="BN11" s="1" t="s">
        <v>746</v>
      </c>
      <c r="BO11" s="1" t="s">
        <v>746</v>
      </c>
      <c r="BP11" s="1" t="s">
        <v>746</v>
      </c>
      <c r="BQ11" s="1" t="s">
        <v>746</v>
      </c>
      <c r="BR11" s="1" t="s">
        <v>746</v>
      </c>
      <c r="BS11" s="1" t="s">
        <v>746</v>
      </c>
      <c r="BT11" s="1" t="s">
        <v>746</v>
      </c>
      <c r="BU11" s="1" t="s">
        <v>746</v>
      </c>
      <c r="BV11" s="1" t="s">
        <v>746</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48" width="12.57"/>
  </cols>
  <sheetData>
    <row r="1" ht="15.75" customHeight="1">
      <c r="A1" s="1" t="s">
        <v>15</v>
      </c>
      <c r="B1" s="1" t="s">
        <v>745</v>
      </c>
      <c r="C1" s="1" t="s">
        <v>750</v>
      </c>
      <c r="D1" s="1" t="s">
        <v>746</v>
      </c>
      <c r="E1" s="1" t="s">
        <v>746</v>
      </c>
      <c r="F1" s="1" t="s">
        <v>746</v>
      </c>
      <c r="G1" s="1" t="s">
        <v>746</v>
      </c>
      <c r="H1" s="1" t="s">
        <v>746</v>
      </c>
      <c r="I1" s="1" t="s">
        <v>746</v>
      </c>
      <c r="J1" s="1" t="s">
        <v>746</v>
      </c>
      <c r="AA1" s="1"/>
      <c r="AB1" s="1"/>
      <c r="AC1" s="1"/>
      <c r="AD1" s="1"/>
      <c r="AE1" s="1"/>
      <c r="AF1" s="1"/>
      <c r="AG1" s="1"/>
      <c r="AH1" s="1"/>
      <c r="AI1" s="1"/>
      <c r="AJ1" s="1"/>
      <c r="AK1" s="1"/>
      <c r="AL1" s="1"/>
      <c r="AM1" s="1"/>
      <c r="AN1" s="1"/>
      <c r="AO1" s="1"/>
      <c r="AP1" s="1"/>
      <c r="AQ1" s="1"/>
      <c r="AR1" s="1"/>
      <c r="AS1" s="1"/>
      <c r="AT1" s="1"/>
      <c r="AU1" s="1"/>
      <c r="AV1" s="1"/>
    </row>
    <row r="2" ht="15.75" customHeight="1">
      <c r="B2" s="1">
        <v>400.0</v>
      </c>
      <c r="C2" s="1">
        <v>500.0</v>
      </c>
      <c r="D2" s="1">
        <v>600.0</v>
      </c>
      <c r="E2" s="1">
        <v>700.0</v>
      </c>
      <c r="F2" s="1">
        <v>800.0</v>
      </c>
      <c r="G2" s="1">
        <v>900.0</v>
      </c>
      <c r="H2" s="1">
        <v>1000.0</v>
      </c>
      <c r="I2" s="1">
        <v>1100.0</v>
      </c>
      <c r="J2" s="1">
        <v>1200.0</v>
      </c>
      <c r="K2" s="1">
        <v>1300.0</v>
      </c>
      <c r="L2" s="1">
        <v>1400.0</v>
      </c>
      <c r="M2" s="1">
        <v>1500.0</v>
      </c>
      <c r="N2" s="1">
        <v>1600.0</v>
      </c>
      <c r="O2" s="1">
        <v>1700.0</v>
      </c>
      <c r="P2" s="1">
        <v>1800.0</v>
      </c>
      <c r="Q2" s="1">
        <v>1900.0</v>
      </c>
      <c r="R2" s="1">
        <v>2000.0</v>
      </c>
      <c r="S2" s="1">
        <v>2100.0</v>
      </c>
      <c r="T2" s="1">
        <v>2200.0</v>
      </c>
      <c r="U2" s="1">
        <v>2300.0</v>
      </c>
      <c r="V2" s="1">
        <v>2400.0</v>
      </c>
      <c r="W2" s="1">
        <v>2500.0</v>
      </c>
      <c r="X2" s="1">
        <v>2600.0</v>
      </c>
      <c r="Y2" s="1">
        <v>2700.0</v>
      </c>
      <c r="Z2" s="1">
        <v>2800.0</v>
      </c>
      <c r="AA2" s="1">
        <v>2900.0</v>
      </c>
      <c r="AB2" s="1">
        <v>3000.0</v>
      </c>
      <c r="AC2" s="1">
        <v>3100.0</v>
      </c>
      <c r="AD2" s="1">
        <v>3200.0</v>
      </c>
      <c r="AE2" s="1">
        <v>3300.0</v>
      </c>
      <c r="AF2" s="1">
        <v>3400.0</v>
      </c>
      <c r="AG2" s="1">
        <v>3500.0</v>
      </c>
      <c r="AH2" s="1">
        <v>3600.0</v>
      </c>
      <c r="AI2" s="1">
        <v>3700.0</v>
      </c>
      <c r="AJ2" s="1">
        <v>3800.0</v>
      </c>
      <c r="AK2" s="1">
        <v>3900.0</v>
      </c>
      <c r="AL2" s="1">
        <v>4000.0</v>
      </c>
      <c r="AM2" s="1">
        <v>4100.0</v>
      </c>
      <c r="AN2" s="1">
        <v>4200.0</v>
      </c>
      <c r="AO2" s="1">
        <v>4300.0</v>
      </c>
      <c r="AP2" s="1">
        <v>4400.0</v>
      </c>
      <c r="AQ2" s="1">
        <v>4500.0</v>
      </c>
      <c r="AR2" s="1">
        <v>4600.0</v>
      </c>
      <c r="AS2" s="1">
        <v>4700.0</v>
      </c>
      <c r="AT2" s="1">
        <v>4800.0</v>
      </c>
      <c r="AU2" s="1">
        <v>4900.0</v>
      </c>
      <c r="AV2" s="1">
        <v>5000.0</v>
      </c>
    </row>
    <row r="3" ht="15.75" customHeight="1">
      <c r="A3" s="1">
        <v>400.0</v>
      </c>
      <c r="B3" s="1">
        <v>320.0</v>
      </c>
      <c r="C3" s="1">
        <v>330.0</v>
      </c>
      <c r="D3" s="1">
        <v>338.0</v>
      </c>
      <c r="E3" s="1">
        <v>346.0</v>
      </c>
      <c r="F3" s="1">
        <v>355.0</v>
      </c>
      <c r="G3" s="1">
        <v>364.0</v>
      </c>
      <c r="H3" s="1">
        <v>373.0</v>
      </c>
      <c r="I3" s="1">
        <v>381.0</v>
      </c>
      <c r="J3" s="1">
        <v>389.0</v>
      </c>
      <c r="K3" s="1">
        <v>399.0</v>
      </c>
      <c r="L3" s="1">
        <v>407.0</v>
      </c>
      <c r="M3" s="1">
        <v>416.0</v>
      </c>
      <c r="N3" s="1">
        <v>424.0</v>
      </c>
      <c r="O3" s="1">
        <v>432.0</v>
      </c>
      <c r="P3" s="1">
        <v>442.0</v>
      </c>
      <c r="Q3" s="1">
        <v>450.0</v>
      </c>
      <c r="R3" s="1">
        <v>459.0</v>
      </c>
      <c r="S3" s="1">
        <v>467.0</v>
      </c>
      <c r="T3" s="1">
        <v>476.0</v>
      </c>
      <c r="U3" s="1">
        <v>485.0</v>
      </c>
      <c r="V3" s="1">
        <v>493.0</v>
      </c>
      <c r="W3" s="1">
        <v>502.0</v>
      </c>
      <c r="X3" s="1">
        <v>511.0</v>
      </c>
      <c r="Y3" s="1">
        <v>519.0</v>
      </c>
      <c r="Z3" s="1">
        <v>528.0</v>
      </c>
      <c r="AA3" s="1">
        <v>536.0</v>
      </c>
      <c r="AB3" s="1">
        <v>546.0</v>
      </c>
      <c r="AC3" s="1">
        <v>554.0</v>
      </c>
      <c r="AD3" s="1">
        <v>562.0</v>
      </c>
      <c r="AE3" s="1">
        <v>571.0</v>
      </c>
      <c r="AF3" s="1">
        <v>580.0</v>
      </c>
      <c r="AG3" s="1">
        <v>589.0</v>
      </c>
      <c r="AH3" s="1">
        <v>597.0</v>
      </c>
      <c r="AI3" s="1">
        <v>605.0</v>
      </c>
      <c r="AJ3" s="1">
        <v>615.0</v>
      </c>
      <c r="AK3" s="1">
        <v>623.0</v>
      </c>
      <c r="AL3" s="1">
        <v>632.0</v>
      </c>
      <c r="AM3" s="1">
        <v>640.0</v>
      </c>
      <c r="AN3" s="1">
        <v>649.0</v>
      </c>
      <c r="AO3" s="1">
        <v>658.0</v>
      </c>
      <c r="AP3" s="1">
        <v>666.0</v>
      </c>
      <c r="AQ3" s="1">
        <v>675.0</v>
      </c>
      <c r="AR3" s="1">
        <v>684.0</v>
      </c>
      <c r="AS3" s="1">
        <v>692.0</v>
      </c>
      <c r="AT3" s="1">
        <v>701.0</v>
      </c>
      <c r="AU3" s="1">
        <v>709.0</v>
      </c>
      <c r="AV3" s="1">
        <v>719.0</v>
      </c>
    </row>
    <row r="4" ht="15.75" customHeight="1">
      <c r="A4" s="1">
        <v>500.0</v>
      </c>
      <c r="B4" s="1">
        <v>328.0</v>
      </c>
      <c r="C4" s="1">
        <v>338.0</v>
      </c>
      <c r="D4" s="1">
        <v>346.0</v>
      </c>
      <c r="E4" s="1">
        <v>354.0</v>
      </c>
      <c r="F4" s="1">
        <v>364.0</v>
      </c>
      <c r="G4" s="1">
        <v>372.0</v>
      </c>
      <c r="H4" s="1">
        <v>381.0</v>
      </c>
      <c r="I4" s="1">
        <v>389.0</v>
      </c>
      <c r="J4" s="1">
        <v>397.0</v>
      </c>
      <c r="K4" s="1">
        <v>407.0</v>
      </c>
      <c r="L4" s="1">
        <v>415.0</v>
      </c>
      <c r="M4" s="1">
        <v>424.0</v>
      </c>
      <c r="N4" s="1">
        <v>432.0</v>
      </c>
      <c r="O4" s="1">
        <v>441.0</v>
      </c>
      <c r="P4" s="1">
        <v>450.0</v>
      </c>
      <c r="Q4" s="1">
        <v>458.0</v>
      </c>
      <c r="R4" s="1">
        <v>467.0</v>
      </c>
      <c r="S4" s="1">
        <v>476.0</v>
      </c>
      <c r="T4" s="1">
        <v>484.0</v>
      </c>
      <c r="U4" s="1">
        <v>493.0</v>
      </c>
      <c r="V4" s="1">
        <v>501.0</v>
      </c>
      <c r="W4" s="1">
        <v>511.0</v>
      </c>
      <c r="X4" s="1">
        <v>519.0</v>
      </c>
      <c r="Y4" s="1">
        <v>527.0</v>
      </c>
      <c r="Z4" s="1">
        <v>536.0</v>
      </c>
      <c r="AA4" s="1">
        <v>545.0</v>
      </c>
      <c r="AB4" s="1">
        <v>554.0</v>
      </c>
      <c r="AC4" s="1">
        <v>562.0</v>
      </c>
      <c r="AD4" s="1">
        <v>570.0</v>
      </c>
      <c r="AE4" s="1">
        <v>580.0</v>
      </c>
      <c r="AF4" s="1">
        <v>588.0</v>
      </c>
      <c r="AG4" s="1">
        <v>597.0</v>
      </c>
      <c r="AH4" s="1">
        <v>605.0</v>
      </c>
      <c r="AI4" s="1">
        <v>614.0</v>
      </c>
      <c r="AJ4" s="1">
        <v>623.0</v>
      </c>
      <c r="AK4" s="1">
        <v>631.0</v>
      </c>
      <c r="AL4" s="1">
        <v>640.0</v>
      </c>
      <c r="AM4" s="1">
        <v>649.0</v>
      </c>
      <c r="AN4" s="1">
        <v>657.0</v>
      </c>
      <c r="AO4" s="1">
        <v>666.0</v>
      </c>
      <c r="AP4" s="1">
        <v>674.0</v>
      </c>
      <c r="AQ4" s="1">
        <v>684.0</v>
      </c>
      <c r="AR4" s="1">
        <v>692.0</v>
      </c>
      <c r="AS4" s="1">
        <v>700.0</v>
      </c>
      <c r="AT4" s="1">
        <v>709.0</v>
      </c>
      <c r="AU4" s="1">
        <v>717.0</v>
      </c>
      <c r="AV4" s="1">
        <v>727.0</v>
      </c>
    </row>
    <row r="5" ht="15.75" customHeight="1">
      <c r="A5" s="1">
        <v>600.0</v>
      </c>
      <c r="B5" s="1">
        <v>337.0</v>
      </c>
      <c r="C5" s="1">
        <v>346.0</v>
      </c>
      <c r="D5" s="1">
        <v>354.0</v>
      </c>
      <c r="E5" s="1">
        <v>363.0</v>
      </c>
      <c r="F5" s="1">
        <v>372.0</v>
      </c>
      <c r="G5" s="1">
        <v>380.0</v>
      </c>
      <c r="H5" s="1">
        <v>389.0</v>
      </c>
      <c r="I5" s="1">
        <v>398.0</v>
      </c>
      <c r="J5" s="1">
        <v>406.0</v>
      </c>
      <c r="K5" s="1">
        <v>415.0</v>
      </c>
      <c r="L5" s="1">
        <v>423.0</v>
      </c>
      <c r="M5" s="1">
        <v>432.0</v>
      </c>
      <c r="N5" s="1">
        <v>441.0</v>
      </c>
      <c r="O5" s="1">
        <v>449.0</v>
      </c>
      <c r="P5" s="1">
        <v>458.0</v>
      </c>
      <c r="Q5" s="1">
        <v>466.0</v>
      </c>
      <c r="R5" s="1">
        <v>476.0</v>
      </c>
      <c r="S5" s="1">
        <v>484.0</v>
      </c>
      <c r="T5" s="1">
        <v>492.0</v>
      </c>
      <c r="U5" s="1">
        <v>501.0</v>
      </c>
      <c r="V5" s="1">
        <v>510.0</v>
      </c>
      <c r="W5" s="1">
        <v>519.0</v>
      </c>
      <c r="X5" s="1">
        <v>527.0</v>
      </c>
      <c r="Y5" s="1">
        <v>535.0</v>
      </c>
      <c r="Z5" s="1">
        <v>545.0</v>
      </c>
      <c r="AA5" s="1">
        <v>553.0</v>
      </c>
      <c r="AB5" s="1">
        <v>562.0</v>
      </c>
      <c r="AC5" s="1">
        <v>570.0</v>
      </c>
      <c r="AD5" s="1">
        <v>579.0</v>
      </c>
      <c r="AE5" s="1">
        <v>588.0</v>
      </c>
      <c r="AF5" s="1">
        <v>596.0</v>
      </c>
      <c r="AG5" s="1">
        <v>605.0</v>
      </c>
      <c r="AH5" s="1">
        <v>614.0</v>
      </c>
      <c r="AI5" s="1">
        <v>622.0</v>
      </c>
      <c r="AJ5" s="1">
        <v>631.0</v>
      </c>
      <c r="AK5" s="1">
        <v>639.0</v>
      </c>
      <c r="AL5" s="1">
        <v>649.0</v>
      </c>
      <c r="AM5" s="1">
        <v>657.0</v>
      </c>
      <c r="AN5" s="1">
        <v>665.0</v>
      </c>
      <c r="AO5" s="1">
        <v>674.0</v>
      </c>
      <c r="AP5" s="1">
        <v>682.0</v>
      </c>
      <c r="AQ5" s="1">
        <v>692.0</v>
      </c>
      <c r="AR5" s="1">
        <v>700.0</v>
      </c>
      <c r="AS5" s="1">
        <v>708.0</v>
      </c>
      <c r="AT5" s="1">
        <v>717.0</v>
      </c>
      <c r="AU5" s="1">
        <v>726.0</v>
      </c>
      <c r="AV5" s="1">
        <v>735.0</v>
      </c>
    </row>
    <row r="6" ht="15.75" customHeight="1">
      <c r="A6" s="1">
        <v>700.0</v>
      </c>
      <c r="B6" s="1">
        <v>345.0</v>
      </c>
      <c r="C6" s="1">
        <v>354.0</v>
      </c>
      <c r="D6" s="1">
        <v>363.0</v>
      </c>
      <c r="E6" s="1">
        <v>371.0</v>
      </c>
      <c r="F6" s="1">
        <v>380.0</v>
      </c>
      <c r="G6" s="1">
        <v>388.0</v>
      </c>
      <c r="H6" s="1">
        <v>397.0</v>
      </c>
      <c r="I6" s="1">
        <v>406.0</v>
      </c>
      <c r="J6" s="1">
        <v>414.0</v>
      </c>
      <c r="K6" s="1">
        <v>423.0</v>
      </c>
      <c r="L6" s="1">
        <v>431.0</v>
      </c>
      <c r="M6" s="1">
        <v>441.0</v>
      </c>
      <c r="N6" s="1">
        <v>449.0</v>
      </c>
      <c r="O6" s="1">
        <v>457.0</v>
      </c>
      <c r="P6" s="1">
        <v>466.0</v>
      </c>
      <c r="Q6" s="1">
        <v>475.0</v>
      </c>
      <c r="R6" s="1">
        <v>484.0</v>
      </c>
      <c r="S6" s="1">
        <v>492.0</v>
      </c>
      <c r="T6" s="1">
        <v>500.0</v>
      </c>
      <c r="U6" s="1">
        <v>510.0</v>
      </c>
      <c r="V6" s="1">
        <v>518.0</v>
      </c>
      <c r="W6" s="1">
        <v>527.0</v>
      </c>
      <c r="X6" s="1">
        <v>535.0</v>
      </c>
      <c r="Y6" s="1">
        <v>544.0</v>
      </c>
      <c r="Z6" s="1">
        <v>553.0</v>
      </c>
      <c r="AA6" s="1">
        <v>561.0</v>
      </c>
      <c r="AB6" s="1">
        <v>570.0</v>
      </c>
      <c r="AC6" s="1">
        <v>579.0</v>
      </c>
      <c r="AD6" s="1">
        <v>587.0</v>
      </c>
      <c r="AE6" s="1">
        <v>596.0</v>
      </c>
      <c r="AF6" s="1">
        <v>604.0</v>
      </c>
      <c r="AG6" s="1">
        <v>614.0</v>
      </c>
      <c r="AH6" s="1">
        <v>622.0</v>
      </c>
      <c r="AI6" s="1">
        <v>630.0</v>
      </c>
      <c r="AJ6" s="1">
        <v>639.0</v>
      </c>
      <c r="AK6" s="1">
        <v>647.0</v>
      </c>
      <c r="AL6" s="1">
        <v>657.0</v>
      </c>
      <c r="AM6" s="1">
        <v>665.0</v>
      </c>
      <c r="AN6" s="1">
        <v>673.0</v>
      </c>
      <c r="AO6" s="1">
        <v>683.0</v>
      </c>
      <c r="AP6" s="1">
        <v>691.0</v>
      </c>
      <c r="AQ6" s="1">
        <v>700.0</v>
      </c>
      <c r="AR6" s="1">
        <v>708.0</v>
      </c>
      <c r="AS6" s="1">
        <v>716.0</v>
      </c>
      <c r="AT6" s="1">
        <v>726.0</v>
      </c>
      <c r="AU6" s="1">
        <v>734.0</v>
      </c>
      <c r="AV6" s="1">
        <v>743.0</v>
      </c>
    </row>
    <row r="7" ht="15.75" customHeight="1">
      <c r="A7" s="1">
        <v>800.0</v>
      </c>
      <c r="B7" s="1">
        <v>353.0</v>
      </c>
      <c r="C7" s="1">
        <v>363.0</v>
      </c>
      <c r="D7" s="1">
        <v>371.0</v>
      </c>
      <c r="E7" s="1">
        <v>379.0</v>
      </c>
      <c r="F7" s="1">
        <v>388.0</v>
      </c>
      <c r="G7" s="1">
        <v>396.0</v>
      </c>
      <c r="H7" s="1">
        <v>406.0</v>
      </c>
      <c r="I7" s="1">
        <v>414.0</v>
      </c>
      <c r="J7" s="1">
        <v>422.0</v>
      </c>
      <c r="K7" s="1">
        <v>431.0</v>
      </c>
      <c r="L7" s="1">
        <v>440.0</v>
      </c>
      <c r="M7" s="1">
        <v>449.0</v>
      </c>
      <c r="N7" s="1">
        <v>457.0</v>
      </c>
      <c r="O7" s="1">
        <v>465.0</v>
      </c>
      <c r="P7" s="1">
        <v>475.0</v>
      </c>
      <c r="Q7" s="1">
        <v>483.0</v>
      </c>
      <c r="R7" s="1">
        <v>492.0</v>
      </c>
      <c r="S7" s="1">
        <v>500.0</v>
      </c>
      <c r="T7" s="1">
        <v>509.0</v>
      </c>
      <c r="U7" s="1">
        <v>518.0</v>
      </c>
      <c r="V7" s="1">
        <v>526.0</v>
      </c>
      <c r="W7" s="1">
        <v>535.0</v>
      </c>
      <c r="X7" s="1">
        <v>544.0</v>
      </c>
      <c r="Y7" s="1">
        <v>552.0</v>
      </c>
      <c r="Z7" s="1">
        <v>561.0</v>
      </c>
      <c r="AA7" s="1">
        <v>569.0</v>
      </c>
      <c r="AB7" s="1">
        <v>579.0</v>
      </c>
      <c r="AC7" s="1">
        <v>587.0</v>
      </c>
      <c r="AD7" s="1">
        <v>595.0</v>
      </c>
      <c r="AE7" s="1">
        <v>604.0</v>
      </c>
      <c r="AF7" s="1">
        <v>613.0</v>
      </c>
      <c r="AG7" s="1">
        <v>622.0</v>
      </c>
      <c r="AH7" s="1">
        <v>630.0</v>
      </c>
      <c r="AI7" s="1">
        <v>638.0</v>
      </c>
      <c r="AJ7" s="1">
        <v>648.0</v>
      </c>
      <c r="AK7" s="1">
        <v>656.0</v>
      </c>
      <c r="AL7" s="1">
        <v>665.0</v>
      </c>
      <c r="AM7" s="1">
        <v>673.0</v>
      </c>
      <c r="AN7" s="1">
        <v>681.0</v>
      </c>
      <c r="AO7" s="1">
        <v>691.0</v>
      </c>
      <c r="AP7" s="1">
        <v>699.0</v>
      </c>
      <c r="AQ7" s="1">
        <v>708.0</v>
      </c>
      <c r="AR7" s="1">
        <v>716.0</v>
      </c>
      <c r="AS7" s="1">
        <v>725.0</v>
      </c>
      <c r="AT7" s="1">
        <v>734.0</v>
      </c>
      <c r="AU7" s="1">
        <v>742.0</v>
      </c>
      <c r="AV7" s="1">
        <v>751.0</v>
      </c>
    </row>
    <row r="8" ht="15.75" customHeight="1">
      <c r="A8" s="1">
        <v>900.0</v>
      </c>
      <c r="B8" s="1">
        <v>361.0</v>
      </c>
      <c r="C8" s="1">
        <v>371.0</v>
      </c>
      <c r="D8" s="1">
        <v>379.0</v>
      </c>
      <c r="E8" s="1">
        <v>387.0</v>
      </c>
      <c r="F8" s="1">
        <v>396.0</v>
      </c>
      <c r="G8" s="1">
        <v>405.0</v>
      </c>
      <c r="H8" s="1">
        <v>414.0</v>
      </c>
      <c r="I8" s="1">
        <v>422.0</v>
      </c>
      <c r="J8" s="1">
        <v>430.0</v>
      </c>
      <c r="K8" s="1">
        <v>440.0</v>
      </c>
      <c r="L8" s="1">
        <v>448.0</v>
      </c>
      <c r="M8" s="1">
        <v>457.0</v>
      </c>
      <c r="N8" s="1">
        <v>465.0</v>
      </c>
      <c r="O8" s="1">
        <v>474.0</v>
      </c>
      <c r="P8" s="1">
        <v>483.0</v>
      </c>
      <c r="Q8" s="1">
        <v>491.0</v>
      </c>
      <c r="R8" s="1">
        <v>500.0</v>
      </c>
      <c r="S8" s="1">
        <v>509.0</v>
      </c>
      <c r="T8" s="1">
        <v>517.0</v>
      </c>
      <c r="U8" s="1">
        <v>526.0</v>
      </c>
      <c r="V8" s="1">
        <v>534.0</v>
      </c>
      <c r="W8" s="1">
        <v>544.0</v>
      </c>
      <c r="X8" s="1">
        <v>552.0</v>
      </c>
      <c r="Y8" s="1">
        <v>560.0</v>
      </c>
      <c r="Z8" s="1">
        <v>569.0</v>
      </c>
      <c r="AA8" s="1">
        <v>577.0</v>
      </c>
      <c r="AB8" s="1">
        <v>587.0</v>
      </c>
      <c r="AC8" s="1">
        <v>595.0</v>
      </c>
      <c r="AD8" s="1">
        <v>603.0</v>
      </c>
      <c r="AE8" s="1">
        <v>612.0</v>
      </c>
      <c r="AF8" s="1">
        <v>621.0</v>
      </c>
      <c r="AG8" s="1">
        <v>630.0</v>
      </c>
      <c r="AH8" s="1">
        <v>638.0</v>
      </c>
      <c r="AI8" s="1">
        <v>646.0</v>
      </c>
      <c r="AJ8" s="1">
        <v>656.0</v>
      </c>
      <c r="AK8" s="1">
        <v>664.0</v>
      </c>
      <c r="AL8" s="1">
        <v>673.0</v>
      </c>
      <c r="AM8" s="1">
        <v>681.0</v>
      </c>
      <c r="AN8" s="1">
        <v>690.0</v>
      </c>
      <c r="AO8" s="1">
        <v>699.0</v>
      </c>
      <c r="AP8" s="1">
        <v>707.0</v>
      </c>
      <c r="AQ8" s="1">
        <v>716.0</v>
      </c>
      <c r="AR8" s="1">
        <v>725.0</v>
      </c>
      <c r="AS8" s="1">
        <v>733.0</v>
      </c>
      <c r="AT8" s="1">
        <v>742.0</v>
      </c>
      <c r="AU8" s="1">
        <v>750.0</v>
      </c>
      <c r="AV8" s="1">
        <v>760.0</v>
      </c>
    </row>
    <row r="9" ht="15.75" customHeight="1">
      <c r="A9" s="1">
        <v>1000.0</v>
      </c>
      <c r="B9" s="1">
        <v>369.0</v>
      </c>
      <c r="C9" s="1">
        <v>379.0</v>
      </c>
      <c r="D9" s="1">
        <v>387.0</v>
      </c>
      <c r="E9" s="1">
        <v>395.0</v>
      </c>
      <c r="F9" s="1">
        <v>405.0</v>
      </c>
      <c r="G9" s="1">
        <v>413.0</v>
      </c>
      <c r="H9" s="1">
        <v>422.0</v>
      </c>
      <c r="I9" s="1">
        <v>430.0</v>
      </c>
      <c r="J9" s="1">
        <v>439.0</v>
      </c>
      <c r="K9" s="1">
        <v>448.0</v>
      </c>
      <c r="L9" s="1">
        <v>456.0</v>
      </c>
      <c r="M9" s="1">
        <v>465.0</v>
      </c>
      <c r="N9" s="1">
        <v>474.0</v>
      </c>
      <c r="O9" s="1">
        <v>482.0</v>
      </c>
      <c r="P9" s="1">
        <v>491.0</v>
      </c>
      <c r="Q9" s="1">
        <v>499.0</v>
      </c>
      <c r="R9" s="1">
        <v>509.0</v>
      </c>
      <c r="S9" s="1">
        <v>517.0</v>
      </c>
      <c r="T9" s="1">
        <v>525.0</v>
      </c>
      <c r="U9" s="1">
        <v>534.0</v>
      </c>
      <c r="V9" s="1">
        <v>543.0</v>
      </c>
      <c r="W9" s="1">
        <v>552.0</v>
      </c>
      <c r="X9" s="1">
        <v>560.0</v>
      </c>
      <c r="Y9" s="1">
        <v>568.0</v>
      </c>
      <c r="Z9" s="1">
        <v>577.0</v>
      </c>
      <c r="AA9" s="1">
        <v>586.0</v>
      </c>
      <c r="AB9" s="1">
        <v>595.0</v>
      </c>
      <c r="AC9" s="1">
        <v>603.0</v>
      </c>
      <c r="AD9" s="1">
        <v>611.0</v>
      </c>
      <c r="AE9" s="1">
        <v>621.0</v>
      </c>
      <c r="AF9" s="1">
        <v>629.0</v>
      </c>
      <c r="AG9" s="1">
        <v>638.0</v>
      </c>
      <c r="AH9" s="1">
        <v>646.0</v>
      </c>
      <c r="AI9" s="1">
        <v>655.0</v>
      </c>
      <c r="AJ9" s="1">
        <v>664.0</v>
      </c>
      <c r="AK9" s="1">
        <v>672.0</v>
      </c>
      <c r="AL9" s="1">
        <v>681.0</v>
      </c>
      <c r="AM9" s="1">
        <v>690.0</v>
      </c>
      <c r="AN9" s="1">
        <v>698.0</v>
      </c>
      <c r="AO9" s="1">
        <v>707.0</v>
      </c>
      <c r="AP9" s="1">
        <v>715.0</v>
      </c>
      <c r="AQ9" s="1">
        <v>725.0</v>
      </c>
      <c r="AR9" s="1">
        <v>733.0</v>
      </c>
      <c r="AS9" s="1">
        <v>741.0</v>
      </c>
      <c r="AT9" s="1">
        <v>750.0</v>
      </c>
      <c r="AU9" s="1">
        <v>759.0</v>
      </c>
      <c r="AV9" s="1">
        <v>768.0</v>
      </c>
    </row>
    <row r="10" ht="15.75" customHeight="1">
      <c r="A10" s="1">
        <v>1100.0</v>
      </c>
      <c r="B10" s="1">
        <v>378.0</v>
      </c>
      <c r="C10" s="1">
        <v>387.0</v>
      </c>
      <c r="D10" s="1">
        <v>395.0</v>
      </c>
      <c r="E10" s="1">
        <v>404.0</v>
      </c>
      <c r="F10" s="1">
        <v>413.0</v>
      </c>
      <c r="G10" s="1">
        <v>421.0</v>
      </c>
      <c r="H10" s="1">
        <v>430.0</v>
      </c>
      <c r="I10" s="1">
        <v>439.0</v>
      </c>
      <c r="J10" s="1">
        <v>447.0</v>
      </c>
      <c r="K10" s="1">
        <v>456.0</v>
      </c>
      <c r="L10" s="1">
        <v>464.0</v>
      </c>
      <c r="M10" s="1">
        <v>474.0</v>
      </c>
      <c r="N10" s="1">
        <v>482.0</v>
      </c>
      <c r="O10" s="1">
        <v>490.0</v>
      </c>
      <c r="P10" s="1">
        <v>499.0</v>
      </c>
      <c r="Q10" s="1">
        <v>508.0</v>
      </c>
      <c r="R10" s="1">
        <v>517.0</v>
      </c>
      <c r="S10" s="1">
        <v>525.0</v>
      </c>
      <c r="T10" s="1">
        <v>533.0</v>
      </c>
      <c r="U10" s="1">
        <v>543.0</v>
      </c>
      <c r="V10" s="1">
        <v>551.0</v>
      </c>
      <c r="W10" s="1">
        <v>560.0</v>
      </c>
      <c r="X10" s="1">
        <v>568.0</v>
      </c>
      <c r="Y10" s="1">
        <v>576.0</v>
      </c>
      <c r="Z10" s="1">
        <v>586.0</v>
      </c>
      <c r="AA10" s="1">
        <v>594.0</v>
      </c>
      <c r="AB10" s="1">
        <v>603.0</v>
      </c>
      <c r="AC10" s="1">
        <v>611.0</v>
      </c>
      <c r="AD10" s="1">
        <v>620.0</v>
      </c>
      <c r="AE10" s="1">
        <v>629.0</v>
      </c>
      <c r="AF10" s="1">
        <v>637.0</v>
      </c>
      <c r="AG10" s="1">
        <v>646.0</v>
      </c>
      <c r="AH10" s="1">
        <v>655.0</v>
      </c>
      <c r="AI10" s="1">
        <v>663.0</v>
      </c>
      <c r="AJ10" s="1">
        <v>672.0</v>
      </c>
      <c r="AK10" s="1">
        <v>680.0</v>
      </c>
      <c r="AL10" s="1">
        <v>690.0</v>
      </c>
      <c r="AM10" s="1">
        <v>698.0</v>
      </c>
      <c r="AN10" s="1">
        <v>707.0</v>
      </c>
      <c r="AO10" s="1">
        <v>716.0</v>
      </c>
      <c r="AP10" s="1">
        <v>724.0</v>
      </c>
      <c r="AQ10" s="1">
        <v>733.0</v>
      </c>
      <c r="AR10" s="1">
        <v>741.0</v>
      </c>
      <c r="AS10" s="1">
        <v>749.0</v>
      </c>
      <c r="AT10" s="1">
        <v>759.0</v>
      </c>
      <c r="AU10" s="1">
        <v>767.0</v>
      </c>
      <c r="AV10" s="1">
        <v>776.0</v>
      </c>
    </row>
    <row r="11" ht="15.75" customHeight="1">
      <c r="A11" s="1">
        <v>1200.0</v>
      </c>
      <c r="B11" s="1">
        <v>386.0</v>
      </c>
      <c r="C11" s="1">
        <v>395.0</v>
      </c>
      <c r="D11" s="1">
        <v>404.0</v>
      </c>
      <c r="E11" s="1">
        <v>412.0</v>
      </c>
      <c r="F11" s="1">
        <v>421.0</v>
      </c>
      <c r="G11" s="1">
        <v>429.0</v>
      </c>
      <c r="H11" s="1">
        <v>439.0</v>
      </c>
      <c r="I11" s="1">
        <v>447.0</v>
      </c>
      <c r="J11" s="1">
        <v>455.0</v>
      </c>
      <c r="K11" s="1">
        <v>464.0</v>
      </c>
      <c r="L11" s="1">
        <v>473.0</v>
      </c>
      <c r="M11" s="1">
        <v>482.0</v>
      </c>
      <c r="N11" s="1">
        <v>490.0</v>
      </c>
      <c r="O11" s="1">
        <v>498.0</v>
      </c>
      <c r="P11" s="1">
        <v>508.0</v>
      </c>
      <c r="Q11" s="1">
        <v>516.0</v>
      </c>
      <c r="R11" s="1">
        <v>525.0</v>
      </c>
      <c r="S11" s="1">
        <v>533.0</v>
      </c>
      <c r="T11" s="1">
        <v>541.0</v>
      </c>
      <c r="U11" s="1">
        <v>551.0</v>
      </c>
      <c r="V11" s="1">
        <v>559.0</v>
      </c>
      <c r="W11" s="1">
        <v>568.0</v>
      </c>
      <c r="X11" s="1">
        <v>576.0</v>
      </c>
      <c r="Y11" s="1">
        <v>585.0</v>
      </c>
      <c r="Z11" s="1">
        <v>594.0</v>
      </c>
      <c r="AA11" s="1">
        <v>602.0</v>
      </c>
      <c r="AB11" s="1">
        <v>611.0</v>
      </c>
      <c r="AC11" s="1">
        <v>620.0</v>
      </c>
      <c r="AD11" s="1">
        <v>628.0</v>
      </c>
      <c r="AE11" s="1">
        <v>637.0</v>
      </c>
      <c r="AF11" s="1">
        <v>645.0</v>
      </c>
      <c r="AG11" s="1">
        <v>655.0</v>
      </c>
      <c r="AH11" s="1">
        <v>663.0</v>
      </c>
      <c r="AI11" s="1">
        <v>671.0</v>
      </c>
      <c r="AJ11" s="1">
        <v>680.0</v>
      </c>
      <c r="AK11" s="1">
        <v>689.0</v>
      </c>
      <c r="AL11" s="1">
        <v>698.0</v>
      </c>
      <c r="AM11" s="1">
        <v>706.0</v>
      </c>
      <c r="AN11" s="1">
        <v>714.0</v>
      </c>
      <c r="AO11" s="1">
        <v>724.0</v>
      </c>
      <c r="AP11" s="1">
        <v>732.0</v>
      </c>
      <c r="AQ11" s="1">
        <v>741.0</v>
      </c>
      <c r="AR11" s="1">
        <v>749.0</v>
      </c>
      <c r="AS11" s="1">
        <v>758.0</v>
      </c>
      <c r="AT11" s="1">
        <v>767.0</v>
      </c>
      <c r="AU11" s="1">
        <v>775.0</v>
      </c>
      <c r="AV11" s="1">
        <v>784.0</v>
      </c>
    </row>
    <row r="12" ht="15.75" customHeight="1">
      <c r="A12" s="1">
        <v>1300.0</v>
      </c>
      <c r="B12" s="1">
        <v>394.0</v>
      </c>
      <c r="C12" s="1">
        <v>404.0</v>
      </c>
      <c r="D12" s="1">
        <v>412.0</v>
      </c>
      <c r="E12" s="1">
        <v>420.0</v>
      </c>
      <c r="F12" s="1">
        <v>429.0</v>
      </c>
      <c r="G12" s="1">
        <v>438.0</v>
      </c>
      <c r="H12" s="1">
        <v>447.0</v>
      </c>
      <c r="I12" s="1">
        <v>455.0</v>
      </c>
      <c r="J12" s="1">
        <v>463.0</v>
      </c>
      <c r="K12" s="1">
        <v>473.0</v>
      </c>
      <c r="L12" s="1">
        <v>481.0</v>
      </c>
      <c r="M12" s="1">
        <v>490.0</v>
      </c>
      <c r="N12" s="1">
        <v>498.0</v>
      </c>
      <c r="O12" s="1">
        <v>507.0</v>
      </c>
      <c r="P12" s="1">
        <v>516.0</v>
      </c>
      <c r="Q12" s="1">
        <v>524.0</v>
      </c>
      <c r="R12" s="1">
        <v>533.0</v>
      </c>
      <c r="S12" s="1">
        <v>542.0</v>
      </c>
      <c r="T12" s="1">
        <v>550.0</v>
      </c>
      <c r="U12" s="1">
        <v>559.0</v>
      </c>
      <c r="V12" s="1">
        <v>567.0</v>
      </c>
      <c r="W12" s="1">
        <v>577.0</v>
      </c>
      <c r="X12" s="1">
        <v>585.0</v>
      </c>
      <c r="Y12" s="1">
        <v>593.0</v>
      </c>
      <c r="Z12" s="1">
        <v>602.0</v>
      </c>
      <c r="AA12" s="1">
        <v>610.0</v>
      </c>
      <c r="AB12" s="1">
        <v>620.0</v>
      </c>
      <c r="AC12" s="1">
        <v>628.0</v>
      </c>
      <c r="AD12" s="1">
        <v>636.0</v>
      </c>
      <c r="AE12" s="1">
        <v>645.0</v>
      </c>
      <c r="AF12" s="1">
        <v>654.0</v>
      </c>
      <c r="AG12" s="1">
        <v>663.0</v>
      </c>
      <c r="AH12" s="1">
        <v>671.0</v>
      </c>
      <c r="AI12" s="1">
        <v>679.0</v>
      </c>
      <c r="AJ12" s="1">
        <v>689.0</v>
      </c>
      <c r="AK12" s="1">
        <v>697.0</v>
      </c>
      <c r="AL12" s="1">
        <v>706.0</v>
      </c>
      <c r="AM12" s="1">
        <v>714.0</v>
      </c>
      <c r="AN12" s="1">
        <v>723.0</v>
      </c>
      <c r="AO12" s="1">
        <v>732.0</v>
      </c>
      <c r="AP12" s="1">
        <v>740.0</v>
      </c>
      <c r="AQ12" s="1">
        <v>749.0</v>
      </c>
      <c r="AR12" s="1">
        <v>758.0</v>
      </c>
      <c r="AS12" s="1">
        <v>766.0</v>
      </c>
      <c r="AT12" s="1">
        <v>775.0</v>
      </c>
      <c r="AU12" s="1">
        <v>783.0</v>
      </c>
      <c r="AV12" s="1">
        <v>793.0</v>
      </c>
    </row>
    <row r="13" ht="15.75" customHeight="1">
      <c r="A13" s="1">
        <v>1400.0</v>
      </c>
      <c r="B13" s="1">
        <v>402.0</v>
      </c>
      <c r="C13" s="1">
        <v>412.0</v>
      </c>
      <c r="D13" s="1">
        <v>420.0</v>
      </c>
      <c r="E13" s="1">
        <v>428.0</v>
      </c>
      <c r="F13" s="1">
        <v>438.0</v>
      </c>
      <c r="G13" s="1">
        <v>446.0</v>
      </c>
      <c r="H13" s="1">
        <v>455.0</v>
      </c>
      <c r="I13" s="1">
        <v>463.0</v>
      </c>
      <c r="J13" s="1">
        <v>471.0</v>
      </c>
      <c r="K13" s="1">
        <v>481.0</v>
      </c>
      <c r="L13" s="1">
        <v>489.0</v>
      </c>
      <c r="M13" s="1">
        <v>498.0</v>
      </c>
      <c r="N13" s="1">
        <v>506.0</v>
      </c>
      <c r="O13" s="1">
        <v>515.0</v>
      </c>
      <c r="P13" s="1">
        <v>524.0</v>
      </c>
      <c r="Q13" s="1">
        <v>532.0</v>
      </c>
      <c r="R13" s="1">
        <v>541.0</v>
      </c>
      <c r="S13" s="1">
        <v>550.0</v>
      </c>
      <c r="T13" s="1">
        <v>558.0</v>
      </c>
      <c r="U13" s="1">
        <v>567.0</v>
      </c>
      <c r="V13" s="1">
        <v>575.0</v>
      </c>
      <c r="W13" s="1">
        <v>585.0</v>
      </c>
      <c r="X13" s="1">
        <v>593.0</v>
      </c>
      <c r="Y13" s="1">
        <v>601.0</v>
      </c>
      <c r="Z13" s="1">
        <v>610.0</v>
      </c>
      <c r="AA13" s="1">
        <v>619.0</v>
      </c>
      <c r="AB13" s="1">
        <v>628.0</v>
      </c>
      <c r="AC13" s="1">
        <v>636.0</v>
      </c>
      <c r="AD13" s="1">
        <v>644.0</v>
      </c>
      <c r="AE13" s="1">
        <v>654.0</v>
      </c>
      <c r="AF13" s="1">
        <v>662.0</v>
      </c>
      <c r="AG13" s="1">
        <v>671.0</v>
      </c>
      <c r="AH13" s="1">
        <v>679.0</v>
      </c>
      <c r="AI13" s="1">
        <v>688.0</v>
      </c>
      <c r="AJ13" s="1">
        <v>697.0</v>
      </c>
      <c r="AK13" s="1">
        <v>705.0</v>
      </c>
      <c r="AL13" s="1">
        <v>714.0</v>
      </c>
      <c r="AM13" s="1">
        <v>723.0</v>
      </c>
      <c r="AN13" s="1">
        <v>731.0</v>
      </c>
      <c r="AO13" s="1">
        <v>740.0</v>
      </c>
      <c r="AP13" s="1">
        <v>748.0</v>
      </c>
      <c r="AQ13" s="1">
        <v>758.0</v>
      </c>
      <c r="AR13" s="1">
        <v>766.0</v>
      </c>
      <c r="AS13" s="1">
        <v>774.0</v>
      </c>
      <c r="AT13" s="1">
        <v>783.0</v>
      </c>
      <c r="AU13" s="1">
        <v>791.0</v>
      </c>
      <c r="AV13" s="1">
        <v>801.0</v>
      </c>
    </row>
    <row r="14" ht="15.75" customHeight="1">
      <c r="A14" s="1">
        <v>1500.0</v>
      </c>
      <c r="B14" s="1">
        <v>411.0</v>
      </c>
      <c r="C14" s="1">
        <v>420.0</v>
      </c>
      <c r="D14" s="1">
        <v>428.0</v>
      </c>
      <c r="E14" s="1">
        <v>436.0</v>
      </c>
      <c r="F14" s="1">
        <v>446.0</v>
      </c>
      <c r="G14" s="1">
        <v>454.0</v>
      </c>
      <c r="H14" s="1">
        <v>463.0</v>
      </c>
      <c r="I14" s="1">
        <v>471.0</v>
      </c>
      <c r="J14" s="1">
        <v>480.0</v>
      </c>
      <c r="K14" s="1">
        <v>489.0</v>
      </c>
      <c r="L14" s="1">
        <v>497.0</v>
      </c>
      <c r="M14" s="1">
        <v>506.0</v>
      </c>
      <c r="N14" s="1">
        <v>515.0</v>
      </c>
      <c r="O14" s="1">
        <v>523.0</v>
      </c>
      <c r="P14" s="1">
        <v>532.0</v>
      </c>
      <c r="Q14" s="1">
        <v>540.0</v>
      </c>
      <c r="R14" s="1">
        <v>550.0</v>
      </c>
      <c r="S14" s="1">
        <v>558.0</v>
      </c>
      <c r="T14" s="1">
        <v>566.0</v>
      </c>
      <c r="U14" s="1">
        <v>575.0</v>
      </c>
      <c r="V14" s="1">
        <v>584.0</v>
      </c>
      <c r="W14" s="1">
        <v>593.0</v>
      </c>
      <c r="X14" s="1">
        <v>601.0</v>
      </c>
      <c r="Y14" s="1">
        <v>609.0</v>
      </c>
      <c r="Z14" s="1">
        <v>619.0</v>
      </c>
      <c r="AA14" s="1">
        <v>627.0</v>
      </c>
      <c r="AB14" s="1">
        <v>636.0</v>
      </c>
      <c r="AC14" s="1">
        <v>644.0</v>
      </c>
      <c r="AD14" s="1">
        <v>653.0</v>
      </c>
      <c r="AE14" s="1">
        <v>662.0</v>
      </c>
      <c r="AF14" s="1">
        <v>670.0</v>
      </c>
      <c r="AG14" s="1">
        <v>679.0</v>
      </c>
      <c r="AH14" s="1">
        <v>688.0</v>
      </c>
      <c r="AI14" s="1">
        <v>696.0</v>
      </c>
      <c r="AJ14" s="1">
        <v>705.0</v>
      </c>
      <c r="AK14" s="1">
        <v>713.0</v>
      </c>
      <c r="AL14" s="1">
        <v>723.0</v>
      </c>
      <c r="AM14" s="1">
        <v>731.0</v>
      </c>
      <c r="AN14" s="1">
        <v>739.0</v>
      </c>
      <c r="AO14" s="1">
        <v>748.0</v>
      </c>
      <c r="AP14" s="1">
        <v>756.0</v>
      </c>
      <c r="AQ14" s="1">
        <v>766.0</v>
      </c>
      <c r="AR14" s="1">
        <v>774.0</v>
      </c>
      <c r="AS14" s="1">
        <v>782.0</v>
      </c>
      <c r="AT14" s="1">
        <v>791.0</v>
      </c>
      <c r="AU14" s="1">
        <v>800.0</v>
      </c>
      <c r="AV14" s="1">
        <v>809.0</v>
      </c>
    </row>
    <row r="15" ht="15.75" customHeight="1">
      <c r="A15" s="1">
        <v>1600.0</v>
      </c>
      <c r="B15" s="1">
        <v>419.0</v>
      </c>
      <c r="C15" s="1">
        <v>428.0</v>
      </c>
      <c r="D15" s="1">
        <v>437.0</v>
      </c>
      <c r="E15" s="1">
        <v>445.0</v>
      </c>
      <c r="F15" s="1">
        <v>454.0</v>
      </c>
      <c r="G15" s="1">
        <v>462.0</v>
      </c>
      <c r="H15" s="1">
        <v>472.0</v>
      </c>
      <c r="I15" s="1">
        <v>480.0</v>
      </c>
      <c r="J15" s="1">
        <v>488.0</v>
      </c>
      <c r="K15" s="1">
        <v>497.0</v>
      </c>
      <c r="L15" s="1">
        <v>505.0</v>
      </c>
      <c r="M15" s="1">
        <v>515.0</v>
      </c>
      <c r="N15" s="1">
        <v>523.0</v>
      </c>
      <c r="O15" s="1">
        <v>531.0</v>
      </c>
      <c r="P15" s="1">
        <v>540.0</v>
      </c>
      <c r="Q15" s="1">
        <v>549.0</v>
      </c>
      <c r="R15" s="1">
        <v>558.0</v>
      </c>
      <c r="S15" s="1">
        <v>566.0</v>
      </c>
      <c r="T15" s="1">
        <v>574.0</v>
      </c>
      <c r="U15" s="1">
        <v>584.0</v>
      </c>
      <c r="V15" s="1">
        <v>592.0</v>
      </c>
      <c r="W15" s="1">
        <v>601.0</v>
      </c>
      <c r="X15" s="1">
        <v>609.0</v>
      </c>
      <c r="Y15" s="1">
        <v>618.0</v>
      </c>
      <c r="Z15" s="1">
        <v>627.0</v>
      </c>
      <c r="AA15" s="1">
        <v>635.0</v>
      </c>
      <c r="AB15" s="1">
        <v>644.0</v>
      </c>
      <c r="AC15" s="1">
        <v>653.0</v>
      </c>
      <c r="AD15" s="1">
        <v>661.0</v>
      </c>
      <c r="AE15" s="1">
        <v>670.0</v>
      </c>
      <c r="AF15" s="1">
        <v>678.0</v>
      </c>
      <c r="AG15" s="1">
        <v>688.0</v>
      </c>
      <c r="AH15" s="1">
        <v>696.0</v>
      </c>
      <c r="AI15" s="1">
        <v>704.0</v>
      </c>
      <c r="AJ15" s="1">
        <v>713.0</v>
      </c>
      <c r="AK15" s="1">
        <v>722.0</v>
      </c>
      <c r="AL15" s="1">
        <v>731.0</v>
      </c>
      <c r="AM15" s="1">
        <v>739.0</v>
      </c>
      <c r="AN15" s="1">
        <v>747.0</v>
      </c>
      <c r="AO15" s="1">
        <v>757.0</v>
      </c>
      <c r="AP15" s="1">
        <v>765.0</v>
      </c>
      <c r="AQ15" s="1">
        <v>774.0</v>
      </c>
      <c r="AR15" s="1">
        <v>782.0</v>
      </c>
      <c r="AS15" s="1">
        <v>790.0</v>
      </c>
      <c r="AT15" s="1">
        <v>800.0</v>
      </c>
      <c r="AU15" s="1">
        <v>808.0</v>
      </c>
      <c r="AV15" s="1">
        <v>817.0</v>
      </c>
    </row>
    <row r="16" ht="15.75" customHeight="1">
      <c r="A16" s="1">
        <v>1700.0</v>
      </c>
      <c r="B16" s="1">
        <v>427.0</v>
      </c>
      <c r="C16" s="1">
        <v>436.0</v>
      </c>
      <c r="D16" s="1">
        <v>445.0</v>
      </c>
      <c r="E16" s="1">
        <v>453.0</v>
      </c>
      <c r="F16" s="1">
        <v>462.0</v>
      </c>
      <c r="G16" s="1">
        <v>470.0</v>
      </c>
      <c r="H16" s="1">
        <v>480.0</v>
      </c>
      <c r="I16" s="1">
        <v>488.0</v>
      </c>
      <c r="J16" s="1">
        <v>496.0</v>
      </c>
      <c r="K16" s="1">
        <v>505.0</v>
      </c>
      <c r="L16" s="1">
        <v>514.0</v>
      </c>
      <c r="M16" s="1">
        <v>523.0</v>
      </c>
      <c r="N16" s="1">
        <v>531.0</v>
      </c>
      <c r="O16" s="1">
        <v>539.0</v>
      </c>
      <c r="P16" s="1">
        <v>549.0</v>
      </c>
      <c r="Q16" s="1">
        <v>557.0</v>
      </c>
      <c r="R16" s="1">
        <v>566.0</v>
      </c>
      <c r="S16" s="1">
        <v>574.0</v>
      </c>
      <c r="T16" s="1">
        <v>583.0</v>
      </c>
      <c r="U16" s="1">
        <v>592.0</v>
      </c>
      <c r="V16" s="1">
        <v>600.0</v>
      </c>
      <c r="W16" s="1">
        <v>609.0</v>
      </c>
      <c r="X16" s="1">
        <v>618.0</v>
      </c>
      <c r="Y16" s="1">
        <v>626.0</v>
      </c>
      <c r="Z16" s="1">
        <v>635.0</v>
      </c>
      <c r="AA16" s="1">
        <v>643.0</v>
      </c>
      <c r="AB16" s="1">
        <v>653.0</v>
      </c>
      <c r="AC16" s="1">
        <v>661.0</v>
      </c>
      <c r="AD16" s="1">
        <v>669.0</v>
      </c>
      <c r="AE16" s="1">
        <v>678.0</v>
      </c>
      <c r="AF16" s="1">
        <v>687.0</v>
      </c>
      <c r="AG16" s="1">
        <v>696.0</v>
      </c>
      <c r="AH16" s="1">
        <v>704.0</v>
      </c>
      <c r="AI16" s="1">
        <v>712.0</v>
      </c>
      <c r="AJ16" s="1">
        <v>722.0</v>
      </c>
      <c r="AK16" s="1">
        <v>730.0</v>
      </c>
      <c r="AL16" s="1">
        <v>739.0</v>
      </c>
      <c r="AM16" s="1">
        <v>747.0</v>
      </c>
      <c r="AN16" s="1">
        <v>755.0</v>
      </c>
      <c r="AO16" s="1">
        <v>765.0</v>
      </c>
      <c r="AP16" s="1">
        <v>773.0</v>
      </c>
      <c r="AQ16" s="1">
        <v>782.0</v>
      </c>
      <c r="AR16" s="1">
        <v>790.0</v>
      </c>
      <c r="AS16" s="1">
        <v>799.0</v>
      </c>
      <c r="AT16" s="1">
        <v>808.0</v>
      </c>
      <c r="AU16" s="1">
        <v>816.0</v>
      </c>
      <c r="AV16" s="1">
        <v>825.0</v>
      </c>
    </row>
    <row r="17" ht="15.75" customHeight="1">
      <c r="A17" s="1">
        <v>1800.0</v>
      </c>
      <c r="B17" s="1">
        <v>435.0</v>
      </c>
      <c r="C17" s="1">
        <v>445.0</v>
      </c>
      <c r="D17" s="1">
        <v>453.0</v>
      </c>
      <c r="E17" s="1">
        <v>461.0</v>
      </c>
      <c r="F17" s="1">
        <v>470.0</v>
      </c>
      <c r="G17" s="1">
        <v>479.0</v>
      </c>
      <c r="H17" s="1">
        <v>488.0</v>
      </c>
      <c r="I17" s="1">
        <v>496.0</v>
      </c>
      <c r="J17" s="1">
        <v>504.0</v>
      </c>
      <c r="K17" s="1">
        <v>514.0</v>
      </c>
      <c r="L17" s="1">
        <v>522.0</v>
      </c>
      <c r="M17" s="1">
        <v>531.0</v>
      </c>
      <c r="N17" s="1">
        <v>539.0</v>
      </c>
      <c r="O17" s="1">
        <v>548.0</v>
      </c>
      <c r="P17" s="1">
        <v>557.0</v>
      </c>
      <c r="Q17" s="1">
        <v>565.0</v>
      </c>
      <c r="R17" s="1">
        <v>574.0</v>
      </c>
      <c r="S17" s="1">
        <v>583.0</v>
      </c>
      <c r="T17" s="1">
        <v>591.0</v>
      </c>
      <c r="U17" s="1">
        <v>600.0</v>
      </c>
      <c r="V17" s="1">
        <v>608.0</v>
      </c>
      <c r="W17" s="1">
        <v>618.0</v>
      </c>
      <c r="X17" s="1">
        <v>626.0</v>
      </c>
      <c r="Y17" s="1">
        <v>634.0</v>
      </c>
      <c r="Z17" s="1">
        <v>643.0</v>
      </c>
      <c r="AA17" s="1">
        <v>652.0</v>
      </c>
      <c r="AB17" s="1">
        <v>661.0</v>
      </c>
      <c r="AC17" s="1">
        <v>669.0</v>
      </c>
      <c r="AD17" s="1">
        <v>677.0</v>
      </c>
      <c r="AE17" s="1">
        <v>687.0</v>
      </c>
      <c r="AF17" s="1">
        <v>695.0</v>
      </c>
      <c r="AG17" s="1">
        <v>704.0</v>
      </c>
      <c r="AH17" s="1">
        <v>712.0</v>
      </c>
      <c r="AI17" s="1">
        <v>720.0</v>
      </c>
      <c r="AJ17" s="1">
        <v>730.0</v>
      </c>
      <c r="AK17" s="1">
        <v>738.0</v>
      </c>
      <c r="AL17" s="1">
        <v>747.0</v>
      </c>
      <c r="AM17" s="1">
        <v>755.0</v>
      </c>
      <c r="AN17" s="1">
        <v>764.0</v>
      </c>
      <c r="AO17" s="1">
        <v>773.0</v>
      </c>
      <c r="AP17" s="1">
        <v>781.0</v>
      </c>
      <c r="AQ17" s="1">
        <v>790.0</v>
      </c>
      <c r="AR17" s="1">
        <v>799.0</v>
      </c>
      <c r="AS17" s="1">
        <v>807.0</v>
      </c>
      <c r="AT17" s="1">
        <v>816.0</v>
      </c>
      <c r="AU17" s="1">
        <v>824.0</v>
      </c>
      <c r="AV17" s="1">
        <v>834.0</v>
      </c>
    </row>
    <row r="18" ht="15.75" customHeight="1">
      <c r="A18" s="1">
        <v>1900.0</v>
      </c>
      <c r="B18" s="1">
        <v>443.0</v>
      </c>
      <c r="C18" s="1">
        <v>453.0</v>
      </c>
      <c r="D18" s="1">
        <v>461.0</v>
      </c>
      <c r="E18" s="1">
        <v>469.0</v>
      </c>
      <c r="F18" s="1">
        <v>479.0</v>
      </c>
      <c r="G18" s="1">
        <v>487.0</v>
      </c>
      <c r="H18" s="1">
        <v>496.0</v>
      </c>
      <c r="I18" s="1">
        <v>504.0</v>
      </c>
      <c r="J18" s="1">
        <v>513.0</v>
      </c>
      <c r="K18" s="1">
        <v>522.0</v>
      </c>
      <c r="L18" s="1">
        <v>530.0</v>
      </c>
      <c r="M18" s="1">
        <v>539.0</v>
      </c>
      <c r="N18" s="1">
        <v>548.0</v>
      </c>
      <c r="O18" s="1">
        <v>556.0</v>
      </c>
      <c r="P18" s="1">
        <v>565.0</v>
      </c>
      <c r="Q18" s="1">
        <v>573.0</v>
      </c>
      <c r="R18" s="1">
        <v>583.0</v>
      </c>
      <c r="S18" s="1">
        <v>591.0</v>
      </c>
      <c r="T18" s="1">
        <v>599.0</v>
      </c>
      <c r="U18" s="1">
        <v>608.0</v>
      </c>
      <c r="V18" s="1">
        <v>617.0</v>
      </c>
      <c r="W18" s="1">
        <v>626.0</v>
      </c>
      <c r="X18" s="1">
        <v>634.0</v>
      </c>
      <c r="Y18" s="1">
        <v>642.0</v>
      </c>
      <c r="Z18" s="1">
        <v>651.0</v>
      </c>
      <c r="AA18" s="1">
        <v>660.0</v>
      </c>
      <c r="AB18" s="1">
        <v>669.0</v>
      </c>
      <c r="AC18" s="1">
        <v>677.0</v>
      </c>
      <c r="AD18" s="1">
        <v>685.0</v>
      </c>
      <c r="AE18" s="1">
        <v>695.0</v>
      </c>
      <c r="AF18" s="1">
        <v>703.0</v>
      </c>
      <c r="AG18" s="1">
        <v>712.0</v>
      </c>
      <c r="AH18" s="1">
        <v>720.0</v>
      </c>
      <c r="AI18" s="1">
        <v>729.0</v>
      </c>
      <c r="AJ18" s="1">
        <v>738.0</v>
      </c>
      <c r="AK18" s="1">
        <v>746.0</v>
      </c>
      <c r="AL18" s="1">
        <v>755.0</v>
      </c>
      <c r="AM18" s="1">
        <v>764.0</v>
      </c>
      <c r="AN18" s="1">
        <v>772.0</v>
      </c>
      <c r="AO18" s="1">
        <v>781.0</v>
      </c>
      <c r="AP18" s="1">
        <v>789.0</v>
      </c>
      <c r="AQ18" s="1">
        <v>799.0</v>
      </c>
      <c r="AR18" s="1">
        <v>807.0</v>
      </c>
      <c r="AS18" s="1">
        <v>815.0</v>
      </c>
      <c r="AT18" s="1">
        <v>824.0</v>
      </c>
      <c r="AU18" s="1">
        <v>833.0</v>
      </c>
      <c r="AV18" s="1">
        <v>842.0</v>
      </c>
    </row>
    <row r="19" ht="15.75" customHeight="1">
      <c r="A19" s="1">
        <v>2000.0</v>
      </c>
      <c r="B19" s="1">
        <v>452.0</v>
      </c>
      <c r="C19" s="1">
        <v>461.0</v>
      </c>
      <c r="D19" s="1">
        <v>469.0</v>
      </c>
      <c r="E19" s="1">
        <v>478.0</v>
      </c>
      <c r="F19" s="1">
        <v>487.0</v>
      </c>
      <c r="G19" s="1">
        <v>495.0</v>
      </c>
      <c r="H19" s="1">
        <v>504.0</v>
      </c>
      <c r="I19" s="1">
        <v>513.0</v>
      </c>
      <c r="J19" s="1">
        <v>521.0</v>
      </c>
      <c r="K19" s="1">
        <v>530.0</v>
      </c>
      <c r="L19" s="1">
        <v>538.0</v>
      </c>
      <c r="M19" s="1">
        <v>548.0</v>
      </c>
      <c r="N19" s="1">
        <v>556.0</v>
      </c>
      <c r="O19" s="1">
        <v>564.0</v>
      </c>
      <c r="P19" s="1">
        <v>573.0</v>
      </c>
      <c r="Q19" s="1">
        <v>582.0</v>
      </c>
      <c r="R19" s="1">
        <v>591.0</v>
      </c>
      <c r="S19" s="1">
        <v>599.0</v>
      </c>
      <c r="T19" s="1">
        <v>607.0</v>
      </c>
      <c r="U19" s="1">
        <v>617.0</v>
      </c>
      <c r="V19" s="1">
        <v>625.0</v>
      </c>
      <c r="W19" s="1">
        <v>634.0</v>
      </c>
      <c r="X19" s="1">
        <v>642.0</v>
      </c>
      <c r="Y19" s="1">
        <v>650.0</v>
      </c>
      <c r="Z19" s="1">
        <v>660.0</v>
      </c>
      <c r="AA19" s="1">
        <v>668.0</v>
      </c>
      <c r="AB19" s="1">
        <v>677.0</v>
      </c>
      <c r="AC19" s="1">
        <v>685.0</v>
      </c>
      <c r="AD19" s="1">
        <v>694.0</v>
      </c>
      <c r="AE19" s="1">
        <v>703.0</v>
      </c>
      <c r="AF19" s="1">
        <v>711.0</v>
      </c>
      <c r="AG19" s="1">
        <v>720.0</v>
      </c>
      <c r="AH19" s="1">
        <v>729.0</v>
      </c>
      <c r="AI19" s="1">
        <v>737.0</v>
      </c>
      <c r="AJ19" s="1">
        <v>746.0</v>
      </c>
      <c r="AK19" s="1">
        <v>754.0</v>
      </c>
      <c r="AL19" s="1">
        <v>764.0</v>
      </c>
      <c r="AM19" s="1">
        <v>772.0</v>
      </c>
      <c r="AN19" s="1">
        <v>780.0</v>
      </c>
      <c r="AO19" s="1">
        <v>789.0</v>
      </c>
      <c r="AP19" s="1">
        <v>798.0</v>
      </c>
      <c r="AQ19" s="1">
        <v>807.0</v>
      </c>
      <c r="AR19" s="1">
        <v>815.0</v>
      </c>
      <c r="AS19" s="1">
        <v>823.0</v>
      </c>
      <c r="AT19" s="1">
        <v>833.0</v>
      </c>
      <c r="AU19" s="1">
        <v>841.0</v>
      </c>
      <c r="AV19" s="1">
        <v>850.0</v>
      </c>
    </row>
    <row r="20" ht="15.75" customHeight="1">
      <c r="A20" s="1">
        <v>2100.0</v>
      </c>
      <c r="B20" s="1">
        <v>460.0</v>
      </c>
      <c r="C20" s="1">
        <v>469.0</v>
      </c>
      <c r="D20" s="1">
        <v>478.0</v>
      </c>
      <c r="E20" s="1">
        <v>486.0</v>
      </c>
      <c r="F20" s="1">
        <v>495.0</v>
      </c>
      <c r="G20" s="1">
        <v>503.0</v>
      </c>
      <c r="H20" s="1">
        <v>513.0</v>
      </c>
      <c r="I20" s="1">
        <v>521.0</v>
      </c>
      <c r="J20" s="1">
        <v>529.0</v>
      </c>
      <c r="K20" s="1">
        <v>538.0</v>
      </c>
      <c r="L20" s="1">
        <v>547.0</v>
      </c>
      <c r="M20" s="1">
        <v>556.0</v>
      </c>
      <c r="N20" s="1">
        <v>564.0</v>
      </c>
      <c r="O20" s="1">
        <v>572.0</v>
      </c>
      <c r="P20" s="1">
        <v>582.0</v>
      </c>
      <c r="Q20" s="1">
        <v>590.0</v>
      </c>
      <c r="R20" s="1">
        <v>599.0</v>
      </c>
      <c r="S20" s="1">
        <v>607.0</v>
      </c>
      <c r="T20" s="1">
        <v>615.0</v>
      </c>
      <c r="U20" s="1">
        <v>625.0</v>
      </c>
      <c r="V20" s="1">
        <v>633.0</v>
      </c>
      <c r="W20" s="1">
        <v>642.0</v>
      </c>
      <c r="X20" s="1">
        <v>650.0</v>
      </c>
      <c r="Y20" s="1">
        <v>659.0</v>
      </c>
      <c r="Z20" s="1">
        <v>668.0</v>
      </c>
      <c r="AA20" s="1">
        <v>676.0</v>
      </c>
      <c r="AB20" s="1">
        <v>685.0</v>
      </c>
      <c r="AC20" s="1">
        <v>694.0</v>
      </c>
      <c r="AD20" s="1">
        <v>702.0</v>
      </c>
      <c r="AE20" s="1">
        <v>711.0</v>
      </c>
      <c r="AF20" s="1">
        <v>719.0</v>
      </c>
      <c r="AG20" s="1">
        <v>729.0</v>
      </c>
      <c r="AH20" s="1">
        <v>737.0</v>
      </c>
      <c r="AI20" s="1">
        <v>745.0</v>
      </c>
      <c r="AJ20" s="1">
        <v>754.0</v>
      </c>
      <c r="AK20" s="1">
        <v>763.0</v>
      </c>
      <c r="AL20" s="1">
        <v>772.0</v>
      </c>
      <c r="AM20" s="1">
        <v>780.0</v>
      </c>
      <c r="AN20" s="1">
        <v>788.0</v>
      </c>
      <c r="AO20" s="1">
        <v>798.0</v>
      </c>
      <c r="AP20" s="1">
        <v>806.0</v>
      </c>
      <c r="AQ20" s="1">
        <v>815.0</v>
      </c>
      <c r="AR20" s="1">
        <v>823.0</v>
      </c>
      <c r="AS20" s="1">
        <v>832.0</v>
      </c>
      <c r="AT20" s="1">
        <v>841.0</v>
      </c>
      <c r="AU20" s="1">
        <v>849.0</v>
      </c>
      <c r="AV20" s="1">
        <v>858.0</v>
      </c>
    </row>
    <row r="21" ht="15.75" customHeight="1">
      <c r="A21" s="1">
        <v>2200.0</v>
      </c>
      <c r="B21" s="1">
        <v>468.0</v>
      </c>
      <c r="C21" s="1">
        <v>478.0</v>
      </c>
      <c r="D21" s="1">
        <v>486.0</v>
      </c>
      <c r="E21" s="1">
        <v>494.0</v>
      </c>
      <c r="F21" s="1">
        <v>503.0</v>
      </c>
      <c r="G21" s="1">
        <v>512.0</v>
      </c>
      <c r="H21" s="1">
        <v>521.0</v>
      </c>
      <c r="I21" s="1">
        <v>529.0</v>
      </c>
      <c r="J21" s="1">
        <v>537.0</v>
      </c>
      <c r="K21" s="1">
        <v>547.0</v>
      </c>
      <c r="L21" s="1">
        <v>555.0</v>
      </c>
      <c r="M21" s="1">
        <v>564.0</v>
      </c>
      <c r="N21" s="1">
        <v>572.0</v>
      </c>
      <c r="O21" s="1">
        <v>580.0</v>
      </c>
      <c r="P21" s="1">
        <v>590.0</v>
      </c>
      <c r="Q21" s="1">
        <v>598.0</v>
      </c>
      <c r="R21" s="1">
        <v>607.0</v>
      </c>
      <c r="S21" s="1">
        <v>615.0</v>
      </c>
      <c r="T21" s="1">
        <v>624.0</v>
      </c>
      <c r="U21" s="1">
        <v>633.0</v>
      </c>
      <c r="V21" s="1">
        <v>641.0</v>
      </c>
      <c r="W21" s="1">
        <v>650.0</v>
      </c>
      <c r="X21" s="1">
        <v>659.0</v>
      </c>
      <c r="Y21" s="1">
        <v>667.0</v>
      </c>
      <c r="Z21" s="1">
        <v>676.0</v>
      </c>
      <c r="AA21" s="1">
        <v>684.0</v>
      </c>
      <c r="AB21" s="1">
        <v>694.0</v>
      </c>
      <c r="AC21" s="1">
        <v>702.0</v>
      </c>
      <c r="AD21" s="1">
        <v>710.0</v>
      </c>
      <c r="AE21" s="1">
        <v>719.0</v>
      </c>
      <c r="AF21" s="1">
        <v>728.0</v>
      </c>
      <c r="AG21" s="1">
        <v>737.0</v>
      </c>
      <c r="AH21" s="1">
        <v>745.0</v>
      </c>
      <c r="AI21" s="1">
        <v>753.0</v>
      </c>
      <c r="AJ21" s="1">
        <v>763.0</v>
      </c>
      <c r="AK21" s="1">
        <v>771.0</v>
      </c>
      <c r="AL21" s="1">
        <v>780.0</v>
      </c>
      <c r="AM21" s="1">
        <v>788.0</v>
      </c>
      <c r="AN21" s="1">
        <v>797.0</v>
      </c>
      <c r="AO21" s="1">
        <v>806.0</v>
      </c>
      <c r="AP21" s="1">
        <v>814.0</v>
      </c>
      <c r="AQ21" s="1">
        <v>823.0</v>
      </c>
      <c r="AR21" s="1">
        <v>832.0</v>
      </c>
      <c r="AS21" s="1">
        <v>840.0</v>
      </c>
      <c r="AT21" s="1">
        <v>849.0</v>
      </c>
      <c r="AU21" s="1">
        <v>857.0</v>
      </c>
      <c r="AV21" s="1">
        <v>867.0</v>
      </c>
    </row>
    <row r="22" ht="15.75" customHeight="1">
      <c r="A22" s="1">
        <v>2300.0</v>
      </c>
      <c r="B22" s="1">
        <v>476.0</v>
      </c>
      <c r="C22" s="1">
        <v>486.0</v>
      </c>
      <c r="D22" s="1">
        <v>494.0</v>
      </c>
      <c r="E22" s="1">
        <v>502.0</v>
      </c>
      <c r="F22" s="1">
        <v>512.0</v>
      </c>
      <c r="G22" s="1">
        <v>520.0</v>
      </c>
      <c r="H22" s="1">
        <v>529.0</v>
      </c>
      <c r="I22" s="1">
        <v>537.0</v>
      </c>
      <c r="J22" s="1">
        <v>546.0</v>
      </c>
      <c r="K22" s="1">
        <v>555.0</v>
      </c>
      <c r="L22" s="1">
        <v>563.0</v>
      </c>
      <c r="M22" s="1">
        <v>572.0</v>
      </c>
      <c r="N22" s="1">
        <v>581.0</v>
      </c>
      <c r="O22" s="1">
        <v>589.0</v>
      </c>
      <c r="P22" s="1">
        <v>598.0</v>
      </c>
      <c r="Q22" s="1">
        <v>606.0</v>
      </c>
      <c r="R22" s="1">
        <v>616.0</v>
      </c>
      <c r="S22" s="1">
        <v>624.0</v>
      </c>
      <c r="T22" s="1">
        <v>632.0</v>
      </c>
      <c r="U22" s="1">
        <v>641.0</v>
      </c>
      <c r="V22" s="1">
        <v>649.0</v>
      </c>
      <c r="W22" s="1">
        <v>659.0</v>
      </c>
      <c r="X22" s="1">
        <v>667.0</v>
      </c>
      <c r="Y22" s="1">
        <v>675.0</v>
      </c>
      <c r="Z22" s="1">
        <v>684.0</v>
      </c>
      <c r="AA22" s="1">
        <v>693.0</v>
      </c>
      <c r="AB22" s="1">
        <v>702.0</v>
      </c>
      <c r="AC22" s="1">
        <v>710.0</v>
      </c>
      <c r="AD22" s="1">
        <v>718.0</v>
      </c>
      <c r="AE22" s="1">
        <v>728.0</v>
      </c>
      <c r="AF22" s="1">
        <v>736.0</v>
      </c>
      <c r="AG22" s="1">
        <v>745.0</v>
      </c>
      <c r="AH22" s="1">
        <v>753.0</v>
      </c>
      <c r="AI22" s="1">
        <v>762.0</v>
      </c>
      <c r="AJ22" s="1">
        <v>771.0</v>
      </c>
      <c r="AK22" s="1">
        <v>779.0</v>
      </c>
      <c r="AL22" s="1">
        <v>788.0</v>
      </c>
      <c r="AM22" s="1">
        <v>797.0</v>
      </c>
      <c r="AN22" s="1">
        <v>805.0</v>
      </c>
      <c r="AO22" s="1">
        <v>814.0</v>
      </c>
      <c r="AP22" s="1">
        <v>822.0</v>
      </c>
      <c r="AQ22" s="1">
        <v>832.0</v>
      </c>
      <c r="AR22" s="1">
        <v>840.0</v>
      </c>
      <c r="AS22" s="1">
        <v>848.0</v>
      </c>
      <c r="AT22" s="1">
        <v>857.0</v>
      </c>
      <c r="AU22" s="1">
        <v>866.0</v>
      </c>
      <c r="AV22" s="1">
        <v>875.0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3" width="12.57"/>
  </cols>
  <sheetData>
    <row r="1" ht="15.75" customHeight="1">
      <c r="A1" s="1" t="s">
        <v>15</v>
      </c>
      <c r="B1" s="1" t="s">
        <v>745</v>
      </c>
      <c r="C1" s="1" t="s">
        <v>751</v>
      </c>
      <c r="D1" s="1" t="s">
        <v>746</v>
      </c>
      <c r="E1" s="1" t="s">
        <v>746</v>
      </c>
      <c r="F1" s="1" t="s">
        <v>746</v>
      </c>
      <c r="G1" s="1" t="s">
        <v>746</v>
      </c>
      <c r="H1" s="1" t="s">
        <v>746</v>
      </c>
      <c r="I1" s="1" t="s">
        <v>746</v>
      </c>
      <c r="J1" s="1" t="s">
        <v>746</v>
      </c>
    </row>
    <row r="2" ht="15.75" customHeight="1">
      <c r="B2" s="1">
        <v>400.0</v>
      </c>
      <c r="C2" s="1">
        <v>500.0</v>
      </c>
      <c r="D2" s="1">
        <v>600.0</v>
      </c>
      <c r="E2" s="1">
        <v>700.0</v>
      </c>
      <c r="F2" s="1">
        <v>800.0</v>
      </c>
      <c r="G2" s="1">
        <v>900.0</v>
      </c>
      <c r="H2" s="1">
        <v>1000.0</v>
      </c>
      <c r="I2" s="1">
        <v>1100.0</v>
      </c>
      <c r="J2" s="1">
        <v>1200.0</v>
      </c>
      <c r="K2" s="1">
        <v>1300.0</v>
      </c>
      <c r="L2" s="1">
        <v>1400.0</v>
      </c>
      <c r="M2" s="1">
        <v>1500.0</v>
      </c>
      <c r="N2" s="1">
        <v>1600.0</v>
      </c>
      <c r="O2" s="1">
        <v>1700.0</v>
      </c>
      <c r="P2" s="1">
        <v>1800.0</v>
      </c>
      <c r="Q2" s="1">
        <v>1900.0</v>
      </c>
      <c r="R2" s="1">
        <v>2000.0</v>
      </c>
      <c r="S2" s="1">
        <v>2100.0</v>
      </c>
      <c r="T2" s="1">
        <v>2200.0</v>
      </c>
      <c r="U2" s="1">
        <v>2300.0</v>
      </c>
      <c r="V2" s="1">
        <v>2400.0</v>
      </c>
      <c r="W2" s="1">
        <v>2500.0</v>
      </c>
    </row>
    <row r="3" ht="15.75" customHeight="1">
      <c r="A3" s="1">
        <v>400.0</v>
      </c>
      <c r="B3" s="1">
        <v>245.0</v>
      </c>
      <c r="C3" s="1">
        <v>254.0</v>
      </c>
      <c r="D3" s="1">
        <v>263.0</v>
      </c>
      <c r="E3" s="1">
        <v>271.0</v>
      </c>
      <c r="F3" s="1">
        <v>280.0</v>
      </c>
      <c r="G3" s="1">
        <v>288.0</v>
      </c>
      <c r="H3" s="1">
        <v>298.0</v>
      </c>
      <c r="I3" s="1">
        <v>306.0</v>
      </c>
      <c r="J3" s="1">
        <v>314.0</v>
      </c>
      <c r="K3" s="1">
        <v>323.0</v>
      </c>
      <c r="L3" s="1">
        <v>331.0</v>
      </c>
      <c r="M3" s="1">
        <v>341.0</v>
      </c>
      <c r="N3" s="1">
        <v>349.0</v>
      </c>
      <c r="O3" s="1">
        <v>357.0</v>
      </c>
      <c r="P3" s="1">
        <v>366.0</v>
      </c>
      <c r="Q3" s="1">
        <v>375.0</v>
      </c>
      <c r="R3" s="1">
        <v>384.0</v>
      </c>
      <c r="S3" s="1">
        <v>392.0</v>
      </c>
      <c r="T3" s="1">
        <v>400.0</v>
      </c>
      <c r="U3" s="1">
        <v>410.0</v>
      </c>
      <c r="V3" s="1">
        <v>418.0</v>
      </c>
      <c r="W3" s="1">
        <v>427.0</v>
      </c>
    </row>
    <row r="4" ht="15.75" customHeight="1">
      <c r="A4" s="1">
        <v>500.0</v>
      </c>
      <c r="B4" s="1">
        <v>253.0</v>
      </c>
      <c r="C4" s="1">
        <v>263.0</v>
      </c>
      <c r="D4" s="1">
        <v>271.0</v>
      </c>
      <c r="E4" s="1">
        <v>279.0</v>
      </c>
      <c r="F4" s="1">
        <v>288.0</v>
      </c>
      <c r="G4" s="1">
        <v>296.0</v>
      </c>
      <c r="H4" s="1">
        <v>306.0</v>
      </c>
      <c r="I4" s="1">
        <v>314.0</v>
      </c>
      <c r="J4" s="1">
        <v>322.0</v>
      </c>
      <c r="K4" s="1">
        <v>331.0</v>
      </c>
      <c r="L4" s="1">
        <v>340.0</v>
      </c>
      <c r="M4" s="1">
        <v>349.0</v>
      </c>
      <c r="N4" s="1">
        <v>357.0</v>
      </c>
      <c r="O4" s="1">
        <v>365.0</v>
      </c>
      <c r="P4" s="1">
        <v>375.0</v>
      </c>
      <c r="Q4" s="1">
        <v>383.0</v>
      </c>
      <c r="R4" s="1">
        <v>392.0</v>
      </c>
      <c r="S4" s="1">
        <v>400.0</v>
      </c>
      <c r="T4" s="1">
        <v>409.0</v>
      </c>
      <c r="U4" s="1">
        <v>418.0</v>
      </c>
      <c r="V4" s="1">
        <v>426.0</v>
      </c>
      <c r="W4" s="1">
        <v>435.0</v>
      </c>
    </row>
    <row r="5" ht="15.75" customHeight="1">
      <c r="A5" s="1">
        <v>600.0</v>
      </c>
      <c r="B5" s="1">
        <v>261.0</v>
      </c>
      <c r="C5" s="1">
        <v>271.0</v>
      </c>
      <c r="D5" s="1">
        <v>279.0</v>
      </c>
      <c r="E5" s="1">
        <v>287.0</v>
      </c>
      <c r="F5" s="1">
        <v>296.0</v>
      </c>
      <c r="G5" s="1">
        <v>305.0</v>
      </c>
      <c r="H5" s="1">
        <v>314.0</v>
      </c>
      <c r="I5" s="1">
        <v>322.0</v>
      </c>
      <c r="J5" s="1">
        <v>330.0</v>
      </c>
      <c r="K5" s="1">
        <v>340.0</v>
      </c>
      <c r="L5" s="1">
        <v>348.0</v>
      </c>
      <c r="M5" s="1">
        <v>357.0</v>
      </c>
      <c r="N5" s="1">
        <v>365.0</v>
      </c>
      <c r="O5" s="1">
        <v>374.0</v>
      </c>
      <c r="P5" s="1">
        <v>383.0</v>
      </c>
      <c r="Q5" s="1">
        <v>391.0</v>
      </c>
      <c r="R5" s="1">
        <v>400.0</v>
      </c>
      <c r="S5" s="1">
        <v>409.0</v>
      </c>
      <c r="T5" s="1">
        <v>417.0</v>
      </c>
      <c r="U5" s="1">
        <v>426.0</v>
      </c>
      <c r="V5" s="1">
        <v>434.0</v>
      </c>
      <c r="W5" s="1">
        <v>444.0</v>
      </c>
    </row>
    <row r="6" ht="15.75" customHeight="1">
      <c r="A6" s="1">
        <v>700.0</v>
      </c>
      <c r="B6" s="1">
        <v>269.0</v>
      </c>
      <c r="C6" s="1">
        <v>279.0</v>
      </c>
      <c r="D6" s="1">
        <v>287.0</v>
      </c>
      <c r="E6" s="1">
        <v>295.0</v>
      </c>
      <c r="F6" s="1">
        <v>305.0</v>
      </c>
      <c r="G6" s="1">
        <v>313.0</v>
      </c>
      <c r="H6" s="1">
        <v>322.0</v>
      </c>
      <c r="I6" s="1">
        <v>330.0</v>
      </c>
      <c r="J6" s="1">
        <v>339.0</v>
      </c>
      <c r="K6" s="1">
        <v>348.0</v>
      </c>
      <c r="L6" s="1">
        <v>356.0</v>
      </c>
      <c r="M6" s="1">
        <v>365.0</v>
      </c>
      <c r="N6" s="1">
        <v>374.0</v>
      </c>
      <c r="O6" s="1">
        <v>382.0</v>
      </c>
      <c r="P6" s="1">
        <v>391.0</v>
      </c>
      <c r="Q6" s="1">
        <v>399.0</v>
      </c>
      <c r="R6" s="1">
        <v>409.0</v>
      </c>
      <c r="S6" s="1">
        <v>417.0</v>
      </c>
      <c r="T6" s="1">
        <v>425.0</v>
      </c>
      <c r="U6" s="1">
        <v>434.0</v>
      </c>
      <c r="V6" s="1">
        <v>443.0</v>
      </c>
      <c r="W6" s="1">
        <v>452.0</v>
      </c>
    </row>
    <row r="7" ht="15.75" customHeight="1">
      <c r="A7" s="1">
        <v>800.0</v>
      </c>
      <c r="B7" s="1">
        <v>278.0</v>
      </c>
      <c r="C7" s="1">
        <v>287.0</v>
      </c>
      <c r="D7" s="1">
        <v>295.0</v>
      </c>
      <c r="E7" s="1">
        <v>304.0</v>
      </c>
      <c r="F7" s="1">
        <v>313.0</v>
      </c>
      <c r="G7" s="1">
        <v>321.0</v>
      </c>
      <c r="H7" s="1">
        <v>330.0</v>
      </c>
      <c r="I7" s="1">
        <v>339.0</v>
      </c>
      <c r="J7" s="1">
        <v>347.0</v>
      </c>
      <c r="K7" s="1">
        <v>356.0</v>
      </c>
      <c r="L7" s="1">
        <v>364.0</v>
      </c>
      <c r="M7" s="1">
        <v>374.0</v>
      </c>
      <c r="N7" s="1">
        <v>382.0</v>
      </c>
      <c r="O7" s="1">
        <v>390.0</v>
      </c>
      <c r="P7" s="1">
        <v>399.0</v>
      </c>
      <c r="Q7" s="1">
        <v>408.0</v>
      </c>
      <c r="R7" s="1">
        <v>417.0</v>
      </c>
      <c r="S7" s="1">
        <v>425.0</v>
      </c>
      <c r="T7" s="1">
        <v>433.0</v>
      </c>
      <c r="U7" s="1">
        <v>443.0</v>
      </c>
      <c r="V7" s="1">
        <v>451.0</v>
      </c>
      <c r="W7" s="1">
        <v>460.0</v>
      </c>
    </row>
    <row r="8" ht="15.75" customHeight="1">
      <c r="A8" s="1">
        <v>900.0</v>
      </c>
      <c r="B8" s="1">
        <v>286.0</v>
      </c>
      <c r="C8" s="1">
        <v>295.0</v>
      </c>
      <c r="D8" s="1">
        <v>304.0</v>
      </c>
      <c r="E8" s="1">
        <v>312.0</v>
      </c>
      <c r="F8" s="1">
        <v>321.0</v>
      </c>
      <c r="G8" s="1">
        <v>329.0</v>
      </c>
      <c r="H8" s="1">
        <v>339.0</v>
      </c>
      <c r="I8" s="1">
        <v>347.0</v>
      </c>
      <c r="J8" s="1">
        <v>355.0</v>
      </c>
      <c r="K8" s="1">
        <v>364.0</v>
      </c>
      <c r="L8" s="1">
        <v>373.0</v>
      </c>
      <c r="M8" s="1">
        <v>382.0</v>
      </c>
      <c r="N8" s="1">
        <v>390.0</v>
      </c>
      <c r="O8" s="1">
        <v>398.0</v>
      </c>
      <c r="P8" s="1">
        <v>408.0</v>
      </c>
      <c r="Q8" s="1">
        <v>416.0</v>
      </c>
      <c r="R8" s="1">
        <v>425.0</v>
      </c>
      <c r="S8" s="1">
        <v>433.0</v>
      </c>
      <c r="T8" s="1">
        <v>442.0</v>
      </c>
      <c r="U8" s="1">
        <v>451.0</v>
      </c>
      <c r="V8" s="1">
        <v>459.0</v>
      </c>
      <c r="W8" s="1">
        <v>468.0</v>
      </c>
    </row>
    <row r="9" ht="15.75" customHeight="1">
      <c r="A9" s="1">
        <v>1000.0</v>
      </c>
      <c r="B9" s="1">
        <v>294.0</v>
      </c>
      <c r="C9" s="1">
        <v>304.0</v>
      </c>
      <c r="D9" s="1">
        <v>312.0</v>
      </c>
      <c r="E9" s="1">
        <v>320.0</v>
      </c>
      <c r="F9" s="1">
        <v>329.0</v>
      </c>
      <c r="G9" s="1">
        <v>338.0</v>
      </c>
      <c r="H9" s="1">
        <v>347.0</v>
      </c>
      <c r="I9" s="1">
        <v>355.0</v>
      </c>
      <c r="J9" s="1">
        <v>363.0</v>
      </c>
      <c r="K9" s="1">
        <v>373.0</v>
      </c>
      <c r="L9" s="1">
        <v>381.0</v>
      </c>
      <c r="M9" s="1">
        <v>390.0</v>
      </c>
      <c r="N9" s="1">
        <v>398.0</v>
      </c>
      <c r="O9" s="1">
        <v>407.0</v>
      </c>
      <c r="P9" s="1">
        <v>416.0</v>
      </c>
      <c r="Q9" s="1">
        <v>424.0</v>
      </c>
      <c r="R9" s="1">
        <v>433.0</v>
      </c>
      <c r="S9" s="1">
        <v>442.0</v>
      </c>
      <c r="T9" s="1">
        <v>450.0</v>
      </c>
      <c r="U9" s="1">
        <v>459.0</v>
      </c>
      <c r="V9" s="1">
        <v>467.0</v>
      </c>
      <c r="W9" s="1">
        <v>477.0</v>
      </c>
    </row>
    <row r="10" ht="15.75" customHeight="1">
      <c r="A10" s="1">
        <v>1100.0</v>
      </c>
      <c r="B10" s="1">
        <v>302.0</v>
      </c>
      <c r="C10" s="1">
        <v>312.0</v>
      </c>
      <c r="D10" s="1">
        <v>320.0</v>
      </c>
      <c r="E10" s="1">
        <v>328.0</v>
      </c>
      <c r="F10" s="1">
        <v>338.0</v>
      </c>
      <c r="G10" s="1">
        <v>346.0</v>
      </c>
      <c r="H10" s="1">
        <v>355.0</v>
      </c>
      <c r="I10" s="1">
        <v>363.0</v>
      </c>
      <c r="J10" s="1">
        <v>372.0</v>
      </c>
      <c r="K10" s="1">
        <v>381.0</v>
      </c>
      <c r="L10" s="1">
        <v>389.0</v>
      </c>
      <c r="M10" s="1">
        <v>398.0</v>
      </c>
      <c r="N10" s="1">
        <v>407.0</v>
      </c>
      <c r="O10" s="1">
        <v>415.0</v>
      </c>
      <c r="P10" s="1">
        <v>424.0</v>
      </c>
      <c r="Q10" s="1">
        <v>432.0</v>
      </c>
      <c r="R10" s="1">
        <v>442.0</v>
      </c>
      <c r="S10" s="1">
        <v>450.0</v>
      </c>
      <c r="T10" s="1">
        <v>458.0</v>
      </c>
      <c r="U10" s="1">
        <v>467.0</v>
      </c>
      <c r="V10" s="1">
        <v>475.0</v>
      </c>
      <c r="W10" s="1">
        <v>485.0</v>
      </c>
    </row>
    <row r="11" ht="15.75" customHeight="1">
      <c r="A11" s="1">
        <v>1200.0</v>
      </c>
      <c r="B11" s="1">
        <v>311.0</v>
      </c>
      <c r="C11" s="1">
        <v>320.0</v>
      </c>
      <c r="D11" s="1">
        <v>328.0</v>
      </c>
      <c r="E11" s="1">
        <v>337.0</v>
      </c>
      <c r="F11" s="1">
        <v>346.0</v>
      </c>
      <c r="G11" s="1">
        <v>354.0</v>
      </c>
      <c r="H11" s="1">
        <v>363.0</v>
      </c>
      <c r="I11" s="1">
        <v>372.0</v>
      </c>
      <c r="J11" s="1">
        <v>380.0</v>
      </c>
      <c r="K11" s="1">
        <v>389.0</v>
      </c>
      <c r="L11" s="1">
        <v>397.0</v>
      </c>
      <c r="M11" s="1">
        <v>407.0</v>
      </c>
      <c r="N11" s="1">
        <v>415.0</v>
      </c>
      <c r="O11" s="1">
        <v>423.0</v>
      </c>
      <c r="P11" s="1">
        <v>432.0</v>
      </c>
      <c r="Q11" s="1">
        <v>440.0</v>
      </c>
      <c r="R11" s="1">
        <v>450.0</v>
      </c>
      <c r="S11" s="1">
        <v>458.0</v>
      </c>
      <c r="T11" s="1">
        <v>466.0</v>
      </c>
      <c r="U11" s="1">
        <v>475.0</v>
      </c>
      <c r="V11" s="1">
        <v>484.0</v>
      </c>
      <c r="W11" s="1">
        <v>493.0</v>
      </c>
    </row>
    <row r="12" ht="15.75" customHeight="1">
      <c r="A12" s="1">
        <v>1300.0</v>
      </c>
      <c r="B12" s="1">
        <v>319.0</v>
      </c>
      <c r="C12" s="1">
        <v>328.0</v>
      </c>
      <c r="D12" s="1">
        <v>337.0</v>
      </c>
      <c r="E12" s="1">
        <v>345.0</v>
      </c>
      <c r="F12" s="1">
        <v>354.0</v>
      </c>
      <c r="G12" s="1">
        <v>362.0</v>
      </c>
      <c r="H12" s="1">
        <v>372.0</v>
      </c>
      <c r="I12" s="1">
        <v>380.0</v>
      </c>
      <c r="J12" s="1">
        <v>388.0</v>
      </c>
      <c r="K12" s="1">
        <v>397.0</v>
      </c>
      <c r="L12" s="1">
        <v>405.0</v>
      </c>
      <c r="M12" s="1">
        <v>415.0</v>
      </c>
      <c r="N12" s="1">
        <v>423.0</v>
      </c>
      <c r="O12" s="1">
        <v>431.0</v>
      </c>
      <c r="P12" s="1">
        <v>440.0</v>
      </c>
      <c r="Q12" s="1">
        <v>449.0</v>
      </c>
      <c r="R12" s="1">
        <v>458.0</v>
      </c>
      <c r="S12" s="1">
        <v>466.0</v>
      </c>
      <c r="T12" s="1">
        <v>474.0</v>
      </c>
      <c r="U12" s="1">
        <v>484.0</v>
      </c>
      <c r="V12" s="1">
        <v>492.0</v>
      </c>
      <c r="W12" s="1">
        <v>501.0</v>
      </c>
    </row>
    <row r="13" ht="15.75" customHeight="1">
      <c r="A13" s="1">
        <v>1400.0</v>
      </c>
      <c r="B13" s="1">
        <v>327.0</v>
      </c>
      <c r="C13" s="1">
        <v>337.0</v>
      </c>
      <c r="D13" s="1">
        <v>345.0</v>
      </c>
      <c r="E13" s="1">
        <v>353.0</v>
      </c>
      <c r="F13" s="1">
        <v>362.0</v>
      </c>
      <c r="G13" s="1">
        <v>370.0</v>
      </c>
      <c r="H13" s="1">
        <v>380.0</v>
      </c>
      <c r="I13" s="1">
        <v>388.0</v>
      </c>
      <c r="J13" s="1">
        <v>396.0</v>
      </c>
      <c r="K13" s="1">
        <v>405.0</v>
      </c>
      <c r="L13" s="1">
        <v>414.0</v>
      </c>
      <c r="M13" s="1">
        <v>423.0</v>
      </c>
      <c r="N13" s="1">
        <v>431.0</v>
      </c>
      <c r="O13" s="1">
        <v>439.0</v>
      </c>
      <c r="P13" s="1">
        <v>449.0</v>
      </c>
      <c r="Q13" s="1">
        <v>457.0</v>
      </c>
      <c r="R13" s="1">
        <v>466.0</v>
      </c>
      <c r="S13" s="1">
        <v>474.0</v>
      </c>
      <c r="T13" s="1">
        <v>483.0</v>
      </c>
      <c r="U13" s="1">
        <v>492.0</v>
      </c>
      <c r="V13" s="1">
        <v>500.0</v>
      </c>
      <c r="W13" s="1">
        <v>509.0</v>
      </c>
    </row>
    <row r="14" ht="15.75" customHeight="1">
      <c r="A14" s="1">
        <v>1500.0</v>
      </c>
      <c r="B14" s="1">
        <v>335.0</v>
      </c>
      <c r="C14" s="1">
        <v>345.0</v>
      </c>
      <c r="D14" s="1">
        <v>353.0</v>
      </c>
      <c r="E14" s="1">
        <v>361.0</v>
      </c>
      <c r="F14" s="1">
        <v>370.0</v>
      </c>
      <c r="G14" s="1">
        <v>379.0</v>
      </c>
      <c r="H14" s="1">
        <v>388.0</v>
      </c>
      <c r="I14" s="1">
        <v>396.0</v>
      </c>
      <c r="J14" s="1">
        <v>404.0</v>
      </c>
      <c r="K14" s="1">
        <v>414.0</v>
      </c>
      <c r="L14" s="1">
        <v>422.0</v>
      </c>
      <c r="M14" s="1">
        <v>431.0</v>
      </c>
      <c r="N14" s="1">
        <v>439.0</v>
      </c>
      <c r="O14" s="1">
        <v>448.0</v>
      </c>
      <c r="P14" s="1">
        <v>457.0</v>
      </c>
      <c r="Q14" s="1">
        <v>465.0</v>
      </c>
      <c r="R14" s="1">
        <v>474.0</v>
      </c>
      <c r="S14" s="1">
        <v>483.0</v>
      </c>
      <c r="T14" s="1">
        <v>491.0</v>
      </c>
      <c r="U14" s="1">
        <v>500.0</v>
      </c>
      <c r="V14" s="1">
        <v>508.0</v>
      </c>
      <c r="W14" s="1">
        <v>518.0</v>
      </c>
    </row>
    <row r="15" ht="15.75" customHeight="1">
      <c r="A15" s="1">
        <v>1600.0</v>
      </c>
      <c r="B15" s="1">
        <v>343.0</v>
      </c>
      <c r="C15" s="1">
        <v>353.0</v>
      </c>
      <c r="D15" s="1">
        <v>361.0</v>
      </c>
      <c r="E15" s="1">
        <v>369.0</v>
      </c>
      <c r="F15" s="1">
        <v>379.0</v>
      </c>
      <c r="G15" s="1">
        <v>387.0</v>
      </c>
      <c r="H15" s="1">
        <v>396.0</v>
      </c>
      <c r="I15" s="1">
        <v>404.0</v>
      </c>
      <c r="J15" s="1">
        <v>413.0</v>
      </c>
      <c r="K15" s="1">
        <v>422.0</v>
      </c>
      <c r="L15" s="1">
        <v>430.0</v>
      </c>
      <c r="M15" s="1">
        <v>439.0</v>
      </c>
      <c r="N15" s="1">
        <v>448.0</v>
      </c>
      <c r="O15" s="1">
        <v>456.0</v>
      </c>
      <c r="P15" s="1">
        <v>465.0</v>
      </c>
      <c r="Q15" s="1">
        <v>473.0</v>
      </c>
      <c r="R15" s="1">
        <v>483.0</v>
      </c>
      <c r="S15" s="1">
        <v>491.0</v>
      </c>
      <c r="T15" s="1">
        <v>499.0</v>
      </c>
      <c r="U15" s="1">
        <v>508.0</v>
      </c>
      <c r="V15" s="1">
        <v>517.0</v>
      </c>
      <c r="W15" s="1">
        <v>526.0</v>
      </c>
    </row>
    <row r="16" ht="15.75" customHeight="1">
      <c r="A16" s="1">
        <v>1700.0</v>
      </c>
      <c r="B16" s="1">
        <v>352.0</v>
      </c>
      <c r="C16" s="1">
        <v>361.0</v>
      </c>
      <c r="D16" s="1">
        <v>369.0</v>
      </c>
      <c r="E16" s="1">
        <v>378.0</v>
      </c>
      <c r="F16" s="1">
        <v>387.0</v>
      </c>
      <c r="G16" s="1">
        <v>395.0</v>
      </c>
      <c r="H16" s="1">
        <v>404.0</v>
      </c>
      <c r="I16" s="1">
        <v>413.0</v>
      </c>
      <c r="J16" s="1">
        <v>421.0</v>
      </c>
      <c r="K16" s="1">
        <v>430.0</v>
      </c>
      <c r="L16" s="1">
        <v>438.0</v>
      </c>
      <c r="M16" s="1">
        <v>448.0</v>
      </c>
      <c r="N16" s="1">
        <v>456.0</v>
      </c>
      <c r="O16" s="1">
        <v>464.0</v>
      </c>
      <c r="P16" s="1">
        <v>473.0</v>
      </c>
      <c r="Q16" s="1">
        <v>482.0</v>
      </c>
      <c r="R16" s="1">
        <v>491.0</v>
      </c>
      <c r="S16" s="1">
        <v>499.0</v>
      </c>
      <c r="T16" s="1">
        <v>507.0</v>
      </c>
      <c r="U16" s="1">
        <v>517.0</v>
      </c>
      <c r="V16" s="1">
        <v>525.0</v>
      </c>
      <c r="W16" s="1">
        <v>534.0</v>
      </c>
    </row>
    <row r="17" ht="15.75" customHeight="1">
      <c r="A17" s="1">
        <v>1800.0</v>
      </c>
      <c r="B17" s="1">
        <v>360.0</v>
      </c>
      <c r="C17" s="1">
        <v>369.0</v>
      </c>
      <c r="D17" s="1">
        <v>378.0</v>
      </c>
      <c r="E17" s="1">
        <v>386.0</v>
      </c>
      <c r="F17" s="1">
        <v>395.0</v>
      </c>
      <c r="G17" s="1">
        <v>403.0</v>
      </c>
      <c r="H17" s="1">
        <v>413.0</v>
      </c>
      <c r="I17" s="1">
        <v>421.0</v>
      </c>
      <c r="J17" s="1">
        <v>429.0</v>
      </c>
      <c r="K17" s="1">
        <v>438.0</v>
      </c>
      <c r="L17" s="1">
        <v>447.0</v>
      </c>
      <c r="M17" s="1">
        <v>456.0</v>
      </c>
      <c r="N17" s="1">
        <v>464.0</v>
      </c>
      <c r="O17" s="1">
        <v>472.0</v>
      </c>
      <c r="P17" s="1">
        <v>482.0</v>
      </c>
      <c r="Q17" s="1">
        <v>490.0</v>
      </c>
      <c r="R17" s="1">
        <v>499.0</v>
      </c>
      <c r="S17" s="1">
        <v>507.0</v>
      </c>
      <c r="T17" s="1">
        <v>516.0</v>
      </c>
      <c r="U17" s="1">
        <v>525.0</v>
      </c>
      <c r="V17" s="1">
        <v>533.0</v>
      </c>
      <c r="W17" s="1">
        <v>542.0</v>
      </c>
    </row>
    <row r="18" ht="15.75" customHeight="1">
      <c r="A18" s="1">
        <v>1900.0</v>
      </c>
      <c r="B18" s="1">
        <v>368.0</v>
      </c>
      <c r="C18" s="1">
        <v>378.0</v>
      </c>
      <c r="D18" s="1">
        <v>386.0</v>
      </c>
      <c r="E18" s="1">
        <v>394.0</v>
      </c>
      <c r="F18" s="1">
        <v>403.0</v>
      </c>
      <c r="G18" s="1">
        <v>412.0</v>
      </c>
      <c r="H18" s="1">
        <v>421.0</v>
      </c>
      <c r="I18" s="1">
        <v>429.0</v>
      </c>
      <c r="J18" s="1">
        <v>437.0</v>
      </c>
      <c r="K18" s="1">
        <v>447.0</v>
      </c>
      <c r="L18" s="1">
        <v>455.0</v>
      </c>
      <c r="M18" s="1">
        <v>464.0</v>
      </c>
      <c r="N18" s="1">
        <v>472.0</v>
      </c>
      <c r="O18" s="1">
        <v>481.0</v>
      </c>
      <c r="P18" s="1">
        <v>490.0</v>
      </c>
      <c r="Q18" s="1">
        <v>498.0</v>
      </c>
      <c r="R18" s="1">
        <v>507.0</v>
      </c>
      <c r="S18" s="1">
        <v>516.0</v>
      </c>
      <c r="T18" s="1">
        <v>524.0</v>
      </c>
      <c r="U18" s="1">
        <v>533.0</v>
      </c>
      <c r="V18" s="1">
        <v>541.0</v>
      </c>
      <c r="W18" s="1">
        <v>551.0</v>
      </c>
    </row>
    <row r="19" ht="15.75" customHeight="1">
      <c r="A19" s="1">
        <v>2000.0</v>
      </c>
      <c r="B19" s="1">
        <v>376.0</v>
      </c>
      <c r="C19" s="1">
        <v>386.0</v>
      </c>
      <c r="D19" s="1">
        <v>394.0</v>
      </c>
      <c r="E19" s="1">
        <v>402.0</v>
      </c>
      <c r="F19" s="1">
        <v>412.0</v>
      </c>
      <c r="G19" s="1">
        <v>420.0</v>
      </c>
      <c r="H19" s="1">
        <v>429.0</v>
      </c>
      <c r="I19" s="1">
        <v>437.0</v>
      </c>
      <c r="J19" s="1">
        <v>446.0</v>
      </c>
      <c r="K19" s="1">
        <v>455.0</v>
      </c>
      <c r="L19" s="1">
        <v>463.0</v>
      </c>
      <c r="M19" s="1">
        <v>472.0</v>
      </c>
      <c r="N19" s="1">
        <v>481.0</v>
      </c>
      <c r="O19" s="1">
        <v>489.0</v>
      </c>
      <c r="P19" s="1">
        <v>498.0</v>
      </c>
      <c r="Q19" s="1">
        <v>506.0</v>
      </c>
      <c r="R19" s="1">
        <v>516.0</v>
      </c>
      <c r="S19" s="1">
        <v>524.0</v>
      </c>
      <c r="T19" s="1">
        <v>532.0</v>
      </c>
      <c r="U19" s="1">
        <v>541.0</v>
      </c>
      <c r="V19" s="1">
        <v>549.0</v>
      </c>
      <c r="W19" s="1">
        <v>559.0</v>
      </c>
    </row>
    <row r="20" ht="15.75" customHeight="1">
      <c r="A20" s="1">
        <v>2100.0</v>
      </c>
      <c r="B20" s="1">
        <v>385.0</v>
      </c>
      <c r="C20" s="1">
        <v>394.0</v>
      </c>
      <c r="D20" s="1">
        <v>402.0</v>
      </c>
      <c r="E20" s="1">
        <v>411.0</v>
      </c>
      <c r="F20" s="1">
        <v>420.0</v>
      </c>
      <c r="G20" s="1">
        <v>428.0</v>
      </c>
      <c r="H20" s="1">
        <v>437.0</v>
      </c>
      <c r="I20" s="1">
        <v>446.0</v>
      </c>
      <c r="J20" s="1">
        <v>454.0</v>
      </c>
      <c r="K20" s="1">
        <v>463.0</v>
      </c>
      <c r="L20" s="1">
        <v>471.0</v>
      </c>
      <c r="M20" s="1">
        <v>481.0</v>
      </c>
      <c r="N20" s="1">
        <v>489.0</v>
      </c>
      <c r="O20" s="1">
        <v>497.0</v>
      </c>
      <c r="P20" s="1">
        <v>506.0</v>
      </c>
      <c r="Q20" s="1">
        <v>515.0</v>
      </c>
      <c r="R20" s="1">
        <v>524.0</v>
      </c>
      <c r="S20" s="1">
        <v>532.0</v>
      </c>
      <c r="T20" s="1">
        <v>540.0</v>
      </c>
      <c r="U20" s="1">
        <v>549.0</v>
      </c>
      <c r="V20" s="1">
        <v>558.0</v>
      </c>
      <c r="W20" s="1">
        <v>567.0</v>
      </c>
    </row>
    <row r="21" ht="15.75" customHeight="1">
      <c r="A21" s="1">
        <v>2200.0</v>
      </c>
      <c r="B21" s="1">
        <v>393.0</v>
      </c>
      <c r="C21" s="1">
        <v>402.0</v>
      </c>
      <c r="D21" s="1">
        <v>411.0</v>
      </c>
      <c r="E21" s="1">
        <v>419.0</v>
      </c>
      <c r="F21" s="1">
        <v>428.0</v>
      </c>
      <c r="G21" s="1">
        <v>436.0</v>
      </c>
      <c r="H21" s="1">
        <v>446.0</v>
      </c>
      <c r="I21" s="1">
        <v>454.0</v>
      </c>
      <c r="J21" s="1">
        <v>462.0</v>
      </c>
      <c r="K21" s="1">
        <v>471.0</v>
      </c>
      <c r="L21" s="1">
        <v>479.0</v>
      </c>
      <c r="M21" s="1">
        <v>489.0</v>
      </c>
      <c r="N21" s="1">
        <v>497.0</v>
      </c>
      <c r="O21" s="1">
        <v>505.0</v>
      </c>
      <c r="P21" s="1">
        <v>514.0</v>
      </c>
      <c r="Q21" s="1">
        <v>523.0</v>
      </c>
      <c r="R21" s="1">
        <v>532.0</v>
      </c>
      <c r="S21" s="1">
        <v>540.0</v>
      </c>
      <c r="T21" s="1">
        <v>548.0</v>
      </c>
      <c r="U21" s="1">
        <v>558.0</v>
      </c>
      <c r="V21" s="1">
        <v>566.0</v>
      </c>
      <c r="W21" s="1">
        <v>575.0</v>
      </c>
    </row>
    <row r="22" ht="15.75" customHeight="1">
      <c r="A22" s="1">
        <v>2300.0</v>
      </c>
      <c r="B22" s="1">
        <v>401.0</v>
      </c>
      <c r="C22" s="1">
        <v>411.0</v>
      </c>
      <c r="D22" s="1">
        <v>419.0</v>
      </c>
      <c r="E22" s="1">
        <v>427.0</v>
      </c>
      <c r="F22" s="1">
        <v>436.0</v>
      </c>
      <c r="G22" s="1">
        <v>445.0</v>
      </c>
      <c r="H22" s="1">
        <v>454.0</v>
      </c>
      <c r="I22" s="1">
        <v>462.0</v>
      </c>
      <c r="J22" s="1">
        <v>470.0</v>
      </c>
      <c r="K22" s="1">
        <v>479.0</v>
      </c>
      <c r="L22" s="1">
        <v>488.0</v>
      </c>
      <c r="M22" s="1">
        <v>497.0</v>
      </c>
      <c r="N22" s="1">
        <v>505.0</v>
      </c>
      <c r="O22" s="1">
        <v>513.0</v>
      </c>
      <c r="P22" s="1">
        <v>523.0</v>
      </c>
      <c r="Q22" s="1">
        <v>531.0</v>
      </c>
      <c r="R22" s="1">
        <v>540.0</v>
      </c>
      <c r="S22" s="1">
        <v>548.0</v>
      </c>
      <c r="T22" s="1">
        <v>557.0</v>
      </c>
      <c r="U22" s="1">
        <v>566.0</v>
      </c>
      <c r="V22" s="1">
        <v>574.0</v>
      </c>
      <c r="W22" s="1">
        <v>583.0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48" width="12.57"/>
  </cols>
  <sheetData>
    <row r="1" ht="15.75" customHeight="1">
      <c r="A1" s="1" t="s">
        <v>15</v>
      </c>
      <c r="B1" s="1" t="s">
        <v>745</v>
      </c>
      <c r="C1" s="1" t="s">
        <v>752</v>
      </c>
      <c r="D1" s="1" t="s">
        <v>746</v>
      </c>
      <c r="E1" s="1" t="s">
        <v>746</v>
      </c>
      <c r="F1" s="1" t="s">
        <v>746</v>
      </c>
      <c r="G1" s="1" t="s">
        <v>746</v>
      </c>
      <c r="H1" s="1" t="s">
        <v>746</v>
      </c>
      <c r="I1" s="1" t="s">
        <v>746</v>
      </c>
      <c r="J1" s="1" t="s">
        <v>746</v>
      </c>
      <c r="AA1" s="1"/>
      <c r="AB1" s="1"/>
      <c r="AC1" s="1"/>
      <c r="AD1" s="1"/>
      <c r="AE1" s="1"/>
      <c r="AF1" s="1"/>
      <c r="AG1" s="1"/>
      <c r="AH1" s="1"/>
      <c r="AI1" s="1"/>
      <c r="AJ1" s="1"/>
      <c r="AK1" s="1"/>
      <c r="AL1" s="1"/>
      <c r="AM1" s="1"/>
      <c r="AN1" s="1"/>
      <c r="AO1" s="1"/>
      <c r="AP1" s="1"/>
      <c r="AQ1" s="1"/>
      <c r="AR1" s="1"/>
      <c r="AS1" s="1"/>
      <c r="AT1" s="1"/>
      <c r="AU1" s="1"/>
      <c r="AV1" s="1"/>
    </row>
    <row r="2" ht="15.75" customHeight="1">
      <c r="B2" s="1">
        <v>400.0</v>
      </c>
      <c r="C2" s="1">
        <v>500.0</v>
      </c>
      <c r="D2" s="1">
        <v>600.0</v>
      </c>
      <c r="E2" s="1">
        <v>700.0</v>
      </c>
      <c r="F2" s="1">
        <v>800.0</v>
      </c>
      <c r="G2" s="1">
        <v>900.0</v>
      </c>
      <c r="H2" s="1">
        <v>1000.0</v>
      </c>
      <c r="I2" s="1">
        <v>1100.0</v>
      </c>
      <c r="J2" s="1">
        <v>1200.0</v>
      </c>
      <c r="K2" s="1">
        <v>1300.0</v>
      </c>
      <c r="L2" s="1">
        <v>1400.0</v>
      </c>
      <c r="M2" s="1">
        <v>1500.0</v>
      </c>
      <c r="N2" s="1">
        <v>1600.0</v>
      </c>
      <c r="O2" s="1">
        <v>1700.0</v>
      </c>
      <c r="P2" s="1">
        <v>1800.0</v>
      </c>
      <c r="Q2" s="1">
        <v>1900.0</v>
      </c>
      <c r="R2" s="1">
        <v>2000.0</v>
      </c>
      <c r="S2" s="1">
        <v>2100.0</v>
      </c>
      <c r="T2" s="1">
        <v>2200.0</v>
      </c>
      <c r="U2" s="1">
        <v>2300.0</v>
      </c>
      <c r="V2" s="1">
        <v>2400.0</v>
      </c>
      <c r="W2" s="1">
        <v>2500.0</v>
      </c>
      <c r="X2" s="1">
        <v>2600.0</v>
      </c>
      <c r="Y2" s="1">
        <v>2700.0</v>
      </c>
      <c r="Z2" s="1">
        <v>2800.0</v>
      </c>
      <c r="AA2" s="1">
        <v>2900.0</v>
      </c>
      <c r="AB2" s="1">
        <v>3000.0</v>
      </c>
      <c r="AC2" s="1">
        <v>3100.0</v>
      </c>
      <c r="AD2" s="1">
        <v>3200.0</v>
      </c>
      <c r="AE2" s="1">
        <v>3300.0</v>
      </c>
      <c r="AF2" s="1">
        <v>3400.0</v>
      </c>
      <c r="AG2" s="1">
        <v>3500.0</v>
      </c>
      <c r="AH2" s="1">
        <v>3600.0</v>
      </c>
      <c r="AI2" s="1">
        <v>3700.0</v>
      </c>
      <c r="AJ2" s="1">
        <v>3800.0</v>
      </c>
      <c r="AK2" s="1">
        <v>3900.0</v>
      </c>
      <c r="AL2" s="1">
        <v>4000.0</v>
      </c>
      <c r="AM2" s="1">
        <v>4100.0</v>
      </c>
      <c r="AN2" s="1">
        <v>4200.0</v>
      </c>
      <c r="AO2" s="1">
        <v>4300.0</v>
      </c>
      <c r="AP2" s="1">
        <v>4400.0</v>
      </c>
      <c r="AQ2" s="1">
        <v>4500.0</v>
      </c>
      <c r="AR2" s="1">
        <v>4600.0</v>
      </c>
      <c r="AS2" s="1">
        <v>4700.0</v>
      </c>
      <c r="AT2" s="1">
        <v>4800.0</v>
      </c>
      <c r="AU2" s="1">
        <v>4900.0</v>
      </c>
      <c r="AV2" s="1">
        <v>5000.0</v>
      </c>
    </row>
    <row r="3" ht="15.75" customHeight="1">
      <c r="A3" s="1">
        <v>400.0</v>
      </c>
      <c r="B3" s="1">
        <v>317.0</v>
      </c>
      <c r="C3" s="1">
        <v>326.0</v>
      </c>
      <c r="D3" s="1">
        <v>335.0</v>
      </c>
      <c r="E3" s="1">
        <v>343.0</v>
      </c>
      <c r="F3" s="1">
        <v>352.0</v>
      </c>
      <c r="G3" s="1">
        <v>360.0</v>
      </c>
      <c r="H3" s="1">
        <v>370.0</v>
      </c>
      <c r="I3" s="1">
        <v>378.0</v>
      </c>
      <c r="J3" s="1">
        <v>386.0</v>
      </c>
      <c r="K3" s="1">
        <v>395.0</v>
      </c>
      <c r="L3" s="1">
        <v>404.0</v>
      </c>
      <c r="M3" s="1">
        <v>413.0</v>
      </c>
      <c r="N3" s="1">
        <v>421.0</v>
      </c>
      <c r="O3" s="1">
        <v>429.0</v>
      </c>
      <c r="P3" s="1">
        <v>439.0</v>
      </c>
      <c r="Q3" s="1">
        <v>447.0</v>
      </c>
      <c r="R3" s="1">
        <v>456.0</v>
      </c>
      <c r="S3" s="1">
        <v>464.0</v>
      </c>
      <c r="T3" s="1">
        <v>473.0</v>
      </c>
      <c r="U3" s="1">
        <v>482.0</v>
      </c>
      <c r="V3" s="1">
        <v>490.0</v>
      </c>
      <c r="W3" s="1">
        <v>499.0</v>
      </c>
      <c r="X3" s="1">
        <v>507.0</v>
      </c>
      <c r="Y3" s="1">
        <v>516.0</v>
      </c>
      <c r="Z3" s="1">
        <v>525.0</v>
      </c>
      <c r="AA3" s="1">
        <v>533.0</v>
      </c>
      <c r="AB3" s="1">
        <v>543.0</v>
      </c>
      <c r="AC3" s="1">
        <v>551.0</v>
      </c>
      <c r="AD3" s="1">
        <v>559.0</v>
      </c>
      <c r="AE3" s="1">
        <v>568.0</v>
      </c>
      <c r="AF3" s="1">
        <v>576.0</v>
      </c>
      <c r="AG3" s="1">
        <v>586.0</v>
      </c>
      <c r="AH3" s="1">
        <v>594.0</v>
      </c>
      <c r="AI3" s="1">
        <v>602.0</v>
      </c>
      <c r="AJ3" s="1">
        <v>611.0</v>
      </c>
      <c r="AK3" s="1">
        <v>620.0</v>
      </c>
      <c r="AL3" s="1">
        <v>629.0</v>
      </c>
      <c r="AM3" s="1">
        <v>637.0</v>
      </c>
      <c r="AN3" s="1">
        <v>645.0</v>
      </c>
      <c r="AO3" s="1">
        <v>655.0</v>
      </c>
      <c r="AP3" s="1">
        <v>663.0</v>
      </c>
      <c r="AQ3" s="1">
        <v>672.0</v>
      </c>
      <c r="AR3" s="1">
        <v>680.0</v>
      </c>
      <c r="AS3" s="1">
        <v>689.0</v>
      </c>
      <c r="AT3" s="1">
        <v>698.0</v>
      </c>
      <c r="AU3" s="1">
        <v>706.0</v>
      </c>
      <c r="AV3" s="1">
        <v>715.0</v>
      </c>
    </row>
    <row r="4" ht="15.75" customHeight="1">
      <c r="A4" s="1">
        <v>500.0</v>
      </c>
      <c r="B4" s="1">
        <v>325.0</v>
      </c>
      <c r="C4" s="1">
        <v>335.0</v>
      </c>
      <c r="D4" s="1">
        <v>343.0</v>
      </c>
      <c r="E4" s="1">
        <v>351.0</v>
      </c>
      <c r="F4" s="1">
        <v>361.0</v>
      </c>
      <c r="G4" s="1">
        <v>369.0</v>
      </c>
      <c r="H4" s="1">
        <v>378.0</v>
      </c>
      <c r="I4" s="1">
        <v>386.0</v>
      </c>
      <c r="J4" s="1">
        <v>394.0</v>
      </c>
      <c r="K4" s="1">
        <v>404.0</v>
      </c>
      <c r="L4" s="1">
        <v>412.0</v>
      </c>
      <c r="M4" s="1">
        <v>421.0</v>
      </c>
      <c r="N4" s="1">
        <v>429.0</v>
      </c>
      <c r="O4" s="1">
        <v>438.0</v>
      </c>
      <c r="P4" s="1">
        <v>447.0</v>
      </c>
      <c r="Q4" s="1">
        <v>455.0</v>
      </c>
      <c r="R4" s="1">
        <v>464.0</v>
      </c>
      <c r="S4" s="1">
        <v>473.0</v>
      </c>
      <c r="T4" s="1">
        <v>481.0</v>
      </c>
      <c r="U4" s="1">
        <v>490.0</v>
      </c>
      <c r="V4" s="1">
        <v>498.0</v>
      </c>
      <c r="W4" s="1">
        <v>508.0</v>
      </c>
      <c r="X4" s="1">
        <v>516.0</v>
      </c>
      <c r="Y4" s="1">
        <v>524.0</v>
      </c>
      <c r="Z4" s="1">
        <v>533.0</v>
      </c>
      <c r="AA4" s="1">
        <v>542.0</v>
      </c>
      <c r="AB4" s="1">
        <v>551.0</v>
      </c>
      <c r="AC4" s="1">
        <v>559.0</v>
      </c>
      <c r="AD4" s="1">
        <v>567.0</v>
      </c>
      <c r="AE4" s="1">
        <v>577.0</v>
      </c>
      <c r="AF4" s="1">
        <v>585.0</v>
      </c>
      <c r="AG4" s="1">
        <v>594.0</v>
      </c>
      <c r="AH4" s="1">
        <v>602.0</v>
      </c>
      <c r="AI4" s="1">
        <v>611.0</v>
      </c>
      <c r="AJ4" s="1">
        <v>620.0</v>
      </c>
      <c r="AK4" s="1">
        <v>628.0</v>
      </c>
      <c r="AL4" s="1">
        <v>637.0</v>
      </c>
      <c r="AM4" s="1">
        <v>646.0</v>
      </c>
      <c r="AN4" s="1">
        <v>654.0</v>
      </c>
      <c r="AO4" s="1">
        <v>663.0</v>
      </c>
      <c r="AP4" s="1">
        <v>671.0</v>
      </c>
      <c r="AQ4" s="1">
        <v>681.0</v>
      </c>
      <c r="AR4" s="1">
        <v>689.0</v>
      </c>
      <c r="AS4" s="1">
        <v>697.0</v>
      </c>
      <c r="AT4" s="1">
        <v>706.0</v>
      </c>
      <c r="AU4" s="1">
        <v>714.0</v>
      </c>
      <c r="AV4" s="1">
        <v>724.0</v>
      </c>
    </row>
    <row r="5" ht="15.75" customHeight="1">
      <c r="A5" s="1">
        <v>600.0</v>
      </c>
      <c r="B5" s="1">
        <v>333.0</v>
      </c>
      <c r="C5" s="1">
        <v>343.0</v>
      </c>
      <c r="D5" s="1">
        <v>351.0</v>
      </c>
      <c r="E5" s="1">
        <v>359.0</v>
      </c>
      <c r="F5" s="1">
        <v>369.0</v>
      </c>
      <c r="G5" s="1">
        <v>377.0</v>
      </c>
      <c r="H5" s="1">
        <v>386.0</v>
      </c>
      <c r="I5" s="1">
        <v>394.0</v>
      </c>
      <c r="J5" s="1">
        <v>403.0</v>
      </c>
      <c r="K5" s="1">
        <v>412.0</v>
      </c>
      <c r="L5" s="1">
        <v>420.0</v>
      </c>
      <c r="M5" s="1">
        <v>429.0</v>
      </c>
      <c r="N5" s="1">
        <v>438.0</v>
      </c>
      <c r="O5" s="1">
        <v>446.0</v>
      </c>
      <c r="P5" s="1">
        <v>455.0</v>
      </c>
      <c r="Q5" s="1">
        <v>463.0</v>
      </c>
      <c r="R5" s="1">
        <v>473.0</v>
      </c>
      <c r="S5" s="1">
        <v>481.0</v>
      </c>
      <c r="T5" s="1">
        <v>489.0</v>
      </c>
      <c r="U5" s="1">
        <v>498.0</v>
      </c>
      <c r="V5" s="1">
        <v>507.0</v>
      </c>
      <c r="W5" s="1">
        <v>516.0</v>
      </c>
      <c r="X5" s="1">
        <v>524.0</v>
      </c>
      <c r="Y5" s="1">
        <v>532.0</v>
      </c>
      <c r="Z5" s="1">
        <v>542.0</v>
      </c>
      <c r="AA5" s="1">
        <v>550.0</v>
      </c>
      <c r="AB5" s="1">
        <v>559.0</v>
      </c>
      <c r="AC5" s="1">
        <v>567.0</v>
      </c>
      <c r="AD5" s="1">
        <v>576.0</v>
      </c>
      <c r="AE5" s="1">
        <v>585.0</v>
      </c>
      <c r="AF5" s="1">
        <v>593.0</v>
      </c>
      <c r="AG5" s="1">
        <v>602.0</v>
      </c>
      <c r="AH5" s="1">
        <v>611.0</v>
      </c>
      <c r="AI5" s="1">
        <v>619.0</v>
      </c>
      <c r="AJ5" s="1">
        <v>628.0</v>
      </c>
      <c r="AK5" s="1">
        <v>636.0</v>
      </c>
      <c r="AL5" s="1">
        <v>646.0</v>
      </c>
      <c r="AM5" s="1">
        <v>654.0</v>
      </c>
      <c r="AN5" s="1">
        <v>662.0</v>
      </c>
      <c r="AO5" s="1">
        <v>671.0</v>
      </c>
      <c r="AP5" s="1">
        <v>679.0</v>
      </c>
      <c r="AQ5" s="1">
        <v>689.0</v>
      </c>
      <c r="AR5" s="1">
        <v>697.0</v>
      </c>
      <c r="AS5" s="1">
        <v>705.0</v>
      </c>
      <c r="AT5" s="1">
        <v>714.0</v>
      </c>
      <c r="AU5" s="1">
        <v>723.0</v>
      </c>
      <c r="AV5" s="1">
        <v>732.0</v>
      </c>
    </row>
    <row r="6" ht="15.75" customHeight="1">
      <c r="A6" s="1">
        <v>700.0</v>
      </c>
      <c r="B6" s="1">
        <v>341.0</v>
      </c>
      <c r="C6" s="1">
        <v>351.0</v>
      </c>
      <c r="D6" s="1">
        <v>359.0</v>
      </c>
      <c r="E6" s="1">
        <v>368.0</v>
      </c>
      <c r="F6" s="1">
        <v>377.0</v>
      </c>
      <c r="G6" s="1">
        <v>385.0</v>
      </c>
      <c r="H6" s="1">
        <v>394.0</v>
      </c>
      <c r="I6" s="1">
        <v>403.0</v>
      </c>
      <c r="J6" s="1">
        <v>411.0</v>
      </c>
      <c r="K6" s="1">
        <v>420.0</v>
      </c>
      <c r="L6" s="1">
        <v>428.0</v>
      </c>
      <c r="M6" s="1">
        <v>438.0</v>
      </c>
      <c r="N6" s="1">
        <v>446.0</v>
      </c>
      <c r="O6" s="1">
        <v>454.0</v>
      </c>
      <c r="P6" s="1">
        <v>463.0</v>
      </c>
      <c r="Q6" s="1">
        <v>472.0</v>
      </c>
      <c r="R6" s="1">
        <v>481.0</v>
      </c>
      <c r="S6" s="1">
        <v>489.0</v>
      </c>
      <c r="T6" s="1">
        <v>497.0</v>
      </c>
      <c r="U6" s="1">
        <v>507.0</v>
      </c>
      <c r="V6" s="1">
        <v>515.0</v>
      </c>
      <c r="W6" s="1">
        <v>524.0</v>
      </c>
      <c r="X6" s="1">
        <v>532.0</v>
      </c>
      <c r="Y6" s="1">
        <v>541.0</v>
      </c>
      <c r="Z6" s="1">
        <v>550.0</v>
      </c>
      <c r="AA6" s="1">
        <v>558.0</v>
      </c>
      <c r="AB6" s="1">
        <v>567.0</v>
      </c>
      <c r="AC6" s="1">
        <v>576.0</v>
      </c>
      <c r="AD6" s="1">
        <v>584.0</v>
      </c>
      <c r="AE6" s="1">
        <v>593.0</v>
      </c>
      <c r="AF6" s="1">
        <v>601.0</v>
      </c>
      <c r="AG6" s="1">
        <v>611.0</v>
      </c>
      <c r="AH6" s="1">
        <v>619.0</v>
      </c>
      <c r="AI6" s="1">
        <v>627.0</v>
      </c>
      <c r="AJ6" s="1">
        <v>636.0</v>
      </c>
      <c r="AK6" s="1">
        <v>644.0</v>
      </c>
      <c r="AL6" s="1">
        <v>654.0</v>
      </c>
      <c r="AM6" s="1">
        <v>662.0</v>
      </c>
      <c r="AN6" s="1">
        <v>670.0</v>
      </c>
      <c r="AO6" s="1">
        <v>679.0</v>
      </c>
      <c r="AP6" s="1">
        <v>688.0</v>
      </c>
      <c r="AQ6" s="1">
        <v>697.0</v>
      </c>
      <c r="AR6" s="1">
        <v>705.0</v>
      </c>
      <c r="AS6" s="1">
        <v>713.0</v>
      </c>
      <c r="AT6" s="1">
        <v>723.0</v>
      </c>
      <c r="AU6" s="1">
        <v>731.0</v>
      </c>
      <c r="AV6" s="1">
        <v>740.0</v>
      </c>
    </row>
    <row r="7" ht="15.75" customHeight="1">
      <c r="A7" s="1">
        <v>800.0</v>
      </c>
      <c r="B7" s="1">
        <v>350.0</v>
      </c>
      <c r="C7" s="1">
        <v>359.0</v>
      </c>
      <c r="D7" s="1">
        <v>368.0</v>
      </c>
      <c r="E7" s="1">
        <v>376.0</v>
      </c>
      <c r="F7" s="1">
        <v>385.0</v>
      </c>
      <c r="G7" s="1">
        <v>393.0</v>
      </c>
      <c r="H7" s="1">
        <v>403.0</v>
      </c>
      <c r="I7" s="1">
        <v>411.0</v>
      </c>
      <c r="J7" s="1">
        <v>419.0</v>
      </c>
      <c r="K7" s="1">
        <v>428.0</v>
      </c>
      <c r="L7" s="1">
        <v>437.0</v>
      </c>
      <c r="M7" s="1">
        <v>446.0</v>
      </c>
      <c r="N7" s="1">
        <v>454.0</v>
      </c>
      <c r="O7" s="1">
        <v>462.0</v>
      </c>
      <c r="P7" s="1">
        <v>472.0</v>
      </c>
      <c r="Q7" s="1">
        <v>480.0</v>
      </c>
      <c r="R7" s="1">
        <v>489.0</v>
      </c>
      <c r="S7" s="1">
        <v>497.0</v>
      </c>
      <c r="T7" s="1">
        <v>506.0</v>
      </c>
      <c r="U7" s="1">
        <v>515.0</v>
      </c>
      <c r="V7" s="1">
        <v>523.0</v>
      </c>
      <c r="W7" s="1">
        <v>532.0</v>
      </c>
      <c r="X7" s="1">
        <v>541.0</v>
      </c>
      <c r="Y7" s="1">
        <v>549.0</v>
      </c>
      <c r="Z7" s="1">
        <v>558.0</v>
      </c>
      <c r="AA7" s="1">
        <v>566.0</v>
      </c>
      <c r="AB7" s="1">
        <v>576.0</v>
      </c>
      <c r="AC7" s="1">
        <v>584.0</v>
      </c>
      <c r="AD7" s="1">
        <v>592.0</v>
      </c>
      <c r="AE7" s="1">
        <v>601.0</v>
      </c>
      <c r="AF7" s="1">
        <v>609.0</v>
      </c>
      <c r="AG7" s="1">
        <v>619.0</v>
      </c>
      <c r="AH7" s="1">
        <v>627.0</v>
      </c>
      <c r="AI7" s="1">
        <v>635.0</v>
      </c>
      <c r="AJ7" s="1">
        <v>644.0</v>
      </c>
      <c r="AK7" s="1">
        <v>653.0</v>
      </c>
      <c r="AL7" s="1">
        <v>662.0</v>
      </c>
      <c r="AM7" s="1">
        <v>670.0</v>
      </c>
      <c r="AN7" s="1">
        <v>678.0</v>
      </c>
      <c r="AO7" s="1">
        <v>688.0</v>
      </c>
      <c r="AP7" s="1">
        <v>696.0</v>
      </c>
      <c r="AQ7" s="1">
        <v>705.0</v>
      </c>
      <c r="AR7" s="1">
        <v>713.0</v>
      </c>
      <c r="AS7" s="1">
        <v>722.0</v>
      </c>
      <c r="AT7" s="1">
        <v>731.0</v>
      </c>
      <c r="AU7" s="1">
        <v>739.0</v>
      </c>
      <c r="AV7" s="1">
        <v>748.0</v>
      </c>
    </row>
    <row r="8" ht="15.75" customHeight="1">
      <c r="A8" s="1">
        <v>900.0</v>
      </c>
      <c r="B8" s="1">
        <v>358.0</v>
      </c>
      <c r="C8" s="1">
        <v>368.0</v>
      </c>
      <c r="D8" s="1">
        <v>376.0</v>
      </c>
      <c r="E8" s="1">
        <v>384.0</v>
      </c>
      <c r="F8" s="1">
        <v>393.0</v>
      </c>
      <c r="G8" s="1">
        <v>402.0</v>
      </c>
      <c r="H8" s="1">
        <v>411.0</v>
      </c>
      <c r="I8" s="1">
        <v>419.0</v>
      </c>
      <c r="J8" s="1">
        <v>427.0</v>
      </c>
      <c r="K8" s="1">
        <v>437.0</v>
      </c>
      <c r="L8" s="1">
        <v>445.0</v>
      </c>
      <c r="M8" s="1">
        <v>454.0</v>
      </c>
      <c r="N8" s="1">
        <v>462.0</v>
      </c>
      <c r="O8" s="1">
        <v>471.0</v>
      </c>
      <c r="P8" s="1">
        <v>480.0</v>
      </c>
      <c r="Q8" s="1">
        <v>488.0</v>
      </c>
      <c r="R8" s="1">
        <v>497.0</v>
      </c>
      <c r="S8" s="1">
        <v>506.0</v>
      </c>
      <c r="T8" s="1">
        <v>514.0</v>
      </c>
      <c r="U8" s="1">
        <v>523.0</v>
      </c>
      <c r="V8" s="1">
        <v>531.0</v>
      </c>
      <c r="W8" s="1">
        <v>541.0</v>
      </c>
      <c r="X8" s="1">
        <v>549.0</v>
      </c>
      <c r="Y8" s="1">
        <v>557.0</v>
      </c>
      <c r="Z8" s="1">
        <v>566.0</v>
      </c>
      <c r="AA8" s="1">
        <v>574.0</v>
      </c>
      <c r="AB8" s="1">
        <v>584.0</v>
      </c>
      <c r="AC8" s="1">
        <v>592.0</v>
      </c>
      <c r="AD8" s="1">
        <v>600.0</v>
      </c>
      <c r="AE8" s="1">
        <v>609.0</v>
      </c>
      <c r="AF8" s="1">
        <v>618.0</v>
      </c>
      <c r="AG8" s="1">
        <v>627.0</v>
      </c>
      <c r="AH8" s="1">
        <v>635.0</v>
      </c>
      <c r="AI8" s="1">
        <v>643.0</v>
      </c>
      <c r="AJ8" s="1">
        <v>653.0</v>
      </c>
      <c r="AK8" s="1">
        <v>661.0</v>
      </c>
      <c r="AL8" s="1">
        <v>670.0</v>
      </c>
      <c r="AM8" s="1">
        <v>678.0</v>
      </c>
      <c r="AN8" s="1">
        <v>687.0</v>
      </c>
      <c r="AO8" s="1">
        <v>696.0</v>
      </c>
      <c r="AP8" s="1">
        <v>704.0</v>
      </c>
      <c r="AQ8" s="1">
        <v>713.0</v>
      </c>
      <c r="AR8" s="1">
        <v>722.0</v>
      </c>
      <c r="AS8" s="1">
        <v>730.0</v>
      </c>
      <c r="AT8" s="1">
        <v>739.0</v>
      </c>
      <c r="AU8" s="1">
        <v>747.0</v>
      </c>
      <c r="AV8" s="1">
        <v>757.0</v>
      </c>
    </row>
    <row r="9" ht="15.75" customHeight="1">
      <c r="A9" s="1">
        <v>1000.0</v>
      </c>
      <c r="B9" s="1">
        <v>366.0</v>
      </c>
      <c r="C9" s="1">
        <v>376.0</v>
      </c>
      <c r="D9" s="1">
        <v>384.0</v>
      </c>
      <c r="E9" s="1">
        <v>392.0</v>
      </c>
      <c r="F9" s="1">
        <v>402.0</v>
      </c>
      <c r="G9" s="1">
        <v>410.0</v>
      </c>
      <c r="H9" s="1">
        <v>419.0</v>
      </c>
      <c r="I9" s="1">
        <v>427.0</v>
      </c>
      <c r="J9" s="1">
        <v>436.0</v>
      </c>
      <c r="K9" s="1">
        <v>445.0</v>
      </c>
      <c r="L9" s="1">
        <v>453.0</v>
      </c>
      <c r="M9" s="1">
        <v>462.0</v>
      </c>
      <c r="N9" s="1">
        <v>471.0</v>
      </c>
      <c r="O9" s="1">
        <v>479.0</v>
      </c>
      <c r="P9" s="1">
        <v>488.0</v>
      </c>
      <c r="Q9" s="1">
        <v>496.0</v>
      </c>
      <c r="R9" s="1">
        <v>506.0</v>
      </c>
      <c r="S9" s="1">
        <v>514.0</v>
      </c>
      <c r="T9" s="1">
        <v>522.0</v>
      </c>
      <c r="U9" s="1">
        <v>531.0</v>
      </c>
      <c r="V9" s="1">
        <v>540.0</v>
      </c>
      <c r="W9" s="1">
        <v>549.0</v>
      </c>
      <c r="X9" s="1">
        <v>557.0</v>
      </c>
      <c r="Y9" s="1">
        <v>565.0</v>
      </c>
      <c r="Z9" s="1">
        <v>575.0</v>
      </c>
      <c r="AA9" s="1">
        <v>583.0</v>
      </c>
      <c r="AB9" s="1">
        <v>592.0</v>
      </c>
      <c r="AC9" s="1">
        <v>600.0</v>
      </c>
      <c r="AD9" s="1">
        <v>608.0</v>
      </c>
      <c r="AE9" s="1">
        <v>618.0</v>
      </c>
      <c r="AF9" s="1">
        <v>626.0</v>
      </c>
      <c r="AG9" s="1">
        <v>635.0</v>
      </c>
      <c r="AH9" s="1">
        <v>643.0</v>
      </c>
      <c r="AI9" s="1">
        <v>652.0</v>
      </c>
      <c r="AJ9" s="1">
        <v>661.0</v>
      </c>
      <c r="AK9" s="1">
        <v>669.0</v>
      </c>
      <c r="AL9" s="1">
        <v>678.0</v>
      </c>
      <c r="AM9" s="1">
        <v>687.0</v>
      </c>
      <c r="AN9" s="1">
        <v>695.0</v>
      </c>
      <c r="AO9" s="1">
        <v>704.0</v>
      </c>
      <c r="AP9" s="1">
        <v>712.0</v>
      </c>
      <c r="AQ9" s="1">
        <v>722.0</v>
      </c>
      <c r="AR9" s="1">
        <v>730.0</v>
      </c>
      <c r="AS9" s="1">
        <v>738.0</v>
      </c>
      <c r="AT9" s="1">
        <v>747.0</v>
      </c>
      <c r="AU9" s="1">
        <v>756.0</v>
      </c>
      <c r="AV9" s="1">
        <v>765.0</v>
      </c>
    </row>
    <row r="10" ht="15.75" customHeight="1">
      <c r="A10" s="1">
        <v>1100.0</v>
      </c>
      <c r="B10" s="1">
        <v>374.0</v>
      </c>
      <c r="C10" s="1">
        <v>384.0</v>
      </c>
      <c r="D10" s="1">
        <v>392.0</v>
      </c>
      <c r="E10" s="1">
        <v>401.0</v>
      </c>
      <c r="F10" s="1">
        <v>410.0</v>
      </c>
      <c r="G10" s="1">
        <v>418.0</v>
      </c>
      <c r="H10" s="1">
        <v>427.0</v>
      </c>
      <c r="I10" s="1">
        <v>436.0</v>
      </c>
      <c r="J10" s="1">
        <v>444.0</v>
      </c>
      <c r="K10" s="1">
        <v>453.0</v>
      </c>
      <c r="L10" s="1">
        <v>461.0</v>
      </c>
      <c r="M10" s="1">
        <v>471.0</v>
      </c>
      <c r="N10" s="1">
        <v>479.0</v>
      </c>
      <c r="O10" s="1">
        <v>487.0</v>
      </c>
      <c r="P10" s="1">
        <v>496.0</v>
      </c>
      <c r="Q10" s="1">
        <v>504.0</v>
      </c>
      <c r="R10" s="1">
        <v>514.0</v>
      </c>
      <c r="S10" s="1">
        <v>522.0</v>
      </c>
      <c r="T10" s="1">
        <v>530.0</v>
      </c>
      <c r="U10" s="1">
        <v>539.0</v>
      </c>
      <c r="V10" s="1">
        <v>548.0</v>
      </c>
      <c r="W10" s="1">
        <v>557.0</v>
      </c>
      <c r="X10" s="1">
        <v>565.0</v>
      </c>
      <c r="Y10" s="1">
        <v>573.0</v>
      </c>
      <c r="Z10" s="1">
        <v>583.0</v>
      </c>
      <c r="AA10" s="1">
        <v>591.0</v>
      </c>
      <c r="AB10" s="1">
        <v>600.0</v>
      </c>
      <c r="AC10" s="1">
        <v>608.0</v>
      </c>
      <c r="AD10" s="1">
        <v>617.0</v>
      </c>
      <c r="AE10" s="1">
        <v>626.0</v>
      </c>
      <c r="AF10" s="1">
        <v>634.0</v>
      </c>
      <c r="AG10" s="1">
        <v>643.0</v>
      </c>
      <c r="AH10" s="1">
        <v>652.0</v>
      </c>
      <c r="AI10" s="1">
        <v>660.0</v>
      </c>
      <c r="AJ10" s="1">
        <v>669.0</v>
      </c>
      <c r="AK10" s="1">
        <v>677.0</v>
      </c>
      <c r="AL10" s="1">
        <v>687.0</v>
      </c>
      <c r="AM10" s="1">
        <v>695.0</v>
      </c>
      <c r="AN10" s="1">
        <v>703.0</v>
      </c>
      <c r="AO10" s="1">
        <v>712.0</v>
      </c>
      <c r="AP10" s="1">
        <v>721.0</v>
      </c>
      <c r="AQ10" s="1">
        <v>730.0</v>
      </c>
      <c r="AR10" s="1">
        <v>738.0</v>
      </c>
      <c r="AS10" s="1">
        <v>746.0</v>
      </c>
      <c r="AT10" s="1">
        <v>756.0</v>
      </c>
      <c r="AU10" s="1">
        <v>764.0</v>
      </c>
      <c r="AV10" s="1">
        <v>773.0</v>
      </c>
    </row>
    <row r="11" ht="15.75" customHeight="1">
      <c r="A11" s="1">
        <v>1200.0</v>
      </c>
      <c r="B11" s="1">
        <v>383.0</v>
      </c>
      <c r="C11" s="1">
        <v>392.0</v>
      </c>
      <c r="D11" s="1">
        <v>401.0</v>
      </c>
      <c r="E11" s="1">
        <v>409.0</v>
      </c>
      <c r="F11" s="1">
        <v>418.0</v>
      </c>
      <c r="G11" s="1">
        <v>426.0</v>
      </c>
      <c r="H11" s="1">
        <v>436.0</v>
      </c>
      <c r="I11" s="1">
        <v>444.0</v>
      </c>
      <c r="J11" s="1">
        <v>452.0</v>
      </c>
      <c r="K11" s="1">
        <v>461.0</v>
      </c>
      <c r="L11" s="1">
        <v>469.0</v>
      </c>
      <c r="M11" s="1">
        <v>479.0</v>
      </c>
      <c r="N11" s="1">
        <v>487.0</v>
      </c>
      <c r="O11" s="1">
        <v>495.0</v>
      </c>
      <c r="P11" s="1">
        <v>504.0</v>
      </c>
      <c r="Q11" s="1">
        <v>513.0</v>
      </c>
      <c r="R11" s="1">
        <v>522.0</v>
      </c>
      <c r="S11" s="1">
        <v>530.0</v>
      </c>
      <c r="T11" s="1">
        <v>538.0</v>
      </c>
      <c r="U11" s="1">
        <v>548.0</v>
      </c>
      <c r="V11" s="1">
        <v>556.0</v>
      </c>
      <c r="W11" s="1">
        <v>565.0</v>
      </c>
      <c r="X11" s="1">
        <v>573.0</v>
      </c>
      <c r="Y11" s="1">
        <v>582.0</v>
      </c>
      <c r="Z11" s="1">
        <v>591.0</v>
      </c>
      <c r="AA11" s="1">
        <v>599.0</v>
      </c>
      <c r="AB11" s="1">
        <v>608.0</v>
      </c>
      <c r="AC11" s="1">
        <v>617.0</v>
      </c>
      <c r="AD11" s="1">
        <v>625.0</v>
      </c>
      <c r="AE11" s="1">
        <v>634.0</v>
      </c>
      <c r="AF11" s="1">
        <v>642.0</v>
      </c>
      <c r="AG11" s="1">
        <v>652.0</v>
      </c>
      <c r="AH11" s="1">
        <v>660.0</v>
      </c>
      <c r="AI11" s="1">
        <v>668.0</v>
      </c>
      <c r="AJ11" s="1">
        <v>677.0</v>
      </c>
      <c r="AK11" s="1">
        <v>686.0</v>
      </c>
      <c r="AL11" s="1">
        <v>695.0</v>
      </c>
      <c r="AM11" s="1">
        <v>703.0</v>
      </c>
      <c r="AN11" s="1">
        <v>711.0</v>
      </c>
      <c r="AO11" s="1">
        <v>721.0</v>
      </c>
      <c r="AP11" s="1">
        <v>729.0</v>
      </c>
      <c r="AQ11" s="1">
        <v>738.0</v>
      </c>
      <c r="AR11" s="1">
        <v>746.0</v>
      </c>
      <c r="AS11" s="1">
        <v>755.0</v>
      </c>
      <c r="AT11" s="1">
        <v>764.0</v>
      </c>
      <c r="AU11" s="1">
        <v>772.0</v>
      </c>
      <c r="AV11" s="1">
        <v>781.0</v>
      </c>
    </row>
    <row r="12" ht="15.75" customHeight="1">
      <c r="A12" s="1">
        <v>1300.0</v>
      </c>
      <c r="B12" s="1">
        <v>391.0</v>
      </c>
      <c r="C12" s="1">
        <v>401.0</v>
      </c>
      <c r="D12" s="1">
        <v>409.0</v>
      </c>
      <c r="E12" s="1">
        <v>417.0</v>
      </c>
      <c r="F12" s="1">
        <v>426.0</v>
      </c>
      <c r="G12" s="1">
        <v>434.0</v>
      </c>
      <c r="H12" s="1">
        <v>444.0</v>
      </c>
      <c r="I12" s="1">
        <v>452.0</v>
      </c>
      <c r="J12" s="1">
        <v>460.0</v>
      </c>
      <c r="K12" s="1">
        <v>469.0</v>
      </c>
      <c r="L12" s="1">
        <v>478.0</v>
      </c>
      <c r="M12" s="1">
        <v>487.0</v>
      </c>
      <c r="N12" s="1">
        <v>495.0</v>
      </c>
      <c r="O12" s="1">
        <v>503.0</v>
      </c>
      <c r="P12" s="1">
        <v>513.0</v>
      </c>
      <c r="Q12" s="1">
        <v>521.0</v>
      </c>
      <c r="R12" s="1">
        <v>530.0</v>
      </c>
      <c r="S12" s="1">
        <v>538.0</v>
      </c>
      <c r="T12" s="1">
        <v>547.0</v>
      </c>
      <c r="U12" s="1">
        <v>556.0</v>
      </c>
      <c r="V12" s="1">
        <v>564.0</v>
      </c>
      <c r="W12" s="1">
        <v>573.0</v>
      </c>
      <c r="X12" s="1">
        <v>582.0</v>
      </c>
      <c r="Y12" s="1">
        <v>590.0</v>
      </c>
      <c r="Z12" s="1">
        <v>599.0</v>
      </c>
      <c r="AA12" s="1">
        <v>607.0</v>
      </c>
      <c r="AB12" s="1">
        <v>617.0</v>
      </c>
      <c r="AC12" s="1">
        <v>625.0</v>
      </c>
      <c r="AD12" s="1">
        <v>633.0</v>
      </c>
      <c r="AE12" s="1">
        <v>642.0</v>
      </c>
      <c r="AF12" s="1">
        <v>651.0</v>
      </c>
      <c r="AG12" s="1">
        <v>660.0</v>
      </c>
      <c r="AH12" s="1">
        <v>668.0</v>
      </c>
      <c r="AI12" s="1">
        <v>676.0</v>
      </c>
      <c r="AJ12" s="1">
        <v>686.0</v>
      </c>
      <c r="AK12" s="1">
        <v>694.0</v>
      </c>
      <c r="AL12" s="1">
        <v>703.0</v>
      </c>
      <c r="AM12" s="1">
        <v>711.0</v>
      </c>
      <c r="AN12" s="1">
        <v>719.0</v>
      </c>
      <c r="AO12" s="1">
        <v>729.0</v>
      </c>
      <c r="AP12" s="1">
        <v>737.0</v>
      </c>
      <c r="AQ12" s="1">
        <v>746.0</v>
      </c>
      <c r="AR12" s="1">
        <v>755.0</v>
      </c>
      <c r="AS12" s="1">
        <v>763.0</v>
      </c>
      <c r="AT12" s="1">
        <v>772.0</v>
      </c>
      <c r="AU12" s="1">
        <v>780.0</v>
      </c>
      <c r="AV12" s="1">
        <v>789.0</v>
      </c>
    </row>
    <row r="13" ht="15.75" customHeight="1">
      <c r="A13" s="1">
        <v>1400.0</v>
      </c>
      <c r="B13" s="1">
        <v>399.0</v>
      </c>
      <c r="C13" s="1">
        <v>409.0</v>
      </c>
      <c r="D13" s="1">
        <v>417.0</v>
      </c>
      <c r="E13" s="1">
        <v>425.0</v>
      </c>
      <c r="F13" s="1">
        <v>435.0</v>
      </c>
      <c r="G13" s="1">
        <v>443.0</v>
      </c>
      <c r="H13" s="1">
        <v>452.0</v>
      </c>
      <c r="I13" s="1">
        <v>460.0</v>
      </c>
      <c r="J13" s="1">
        <v>468.0</v>
      </c>
      <c r="K13" s="1">
        <v>478.0</v>
      </c>
      <c r="L13" s="1">
        <v>486.0</v>
      </c>
      <c r="M13" s="1">
        <v>495.0</v>
      </c>
      <c r="N13" s="1">
        <v>503.0</v>
      </c>
      <c r="O13" s="1">
        <v>512.0</v>
      </c>
      <c r="P13" s="1">
        <v>521.0</v>
      </c>
      <c r="Q13" s="1">
        <v>529.0</v>
      </c>
      <c r="R13" s="1">
        <v>538.0</v>
      </c>
      <c r="S13" s="1">
        <v>547.0</v>
      </c>
      <c r="T13" s="1">
        <v>555.0</v>
      </c>
      <c r="U13" s="1">
        <v>564.0</v>
      </c>
      <c r="V13" s="1">
        <v>572.0</v>
      </c>
      <c r="W13" s="1">
        <v>582.0</v>
      </c>
      <c r="X13" s="1">
        <v>590.0</v>
      </c>
      <c r="Y13" s="1">
        <v>598.0</v>
      </c>
      <c r="Z13" s="1">
        <v>607.0</v>
      </c>
      <c r="AA13" s="1">
        <v>616.0</v>
      </c>
      <c r="AB13" s="1">
        <v>625.0</v>
      </c>
      <c r="AC13" s="1">
        <v>633.0</v>
      </c>
      <c r="AD13" s="1">
        <v>641.0</v>
      </c>
      <c r="AE13" s="1">
        <v>651.0</v>
      </c>
      <c r="AF13" s="1">
        <v>659.0</v>
      </c>
      <c r="AG13" s="1">
        <v>668.0</v>
      </c>
      <c r="AH13" s="1">
        <v>676.0</v>
      </c>
      <c r="AI13" s="1">
        <v>685.0</v>
      </c>
      <c r="AJ13" s="1">
        <v>694.0</v>
      </c>
      <c r="AK13" s="1">
        <v>702.0</v>
      </c>
      <c r="AL13" s="1">
        <v>711.0</v>
      </c>
      <c r="AM13" s="1">
        <v>720.0</v>
      </c>
      <c r="AN13" s="1">
        <v>728.0</v>
      </c>
      <c r="AO13" s="1">
        <v>737.0</v>
      </c>
      <c r="AP13" s="1">
        <v>745.0</v>
      </c>
      <c r="AQ13" s="1">
        <v>755.0</v>
      </c>
      <c r="AR13" s="1">
        <v>763.0</v>
      </c>
      <c r="AS13" s="1">
        <v>771.0</v>
      </c>
      <c r="AT13" s="1">
        <v>780.0</v>
      </c>
      <c r="AU13" s="1">
        <v>788.0</v>
      </c>
      <c r="AV13" s="1">
        <v>798.0</v>
      </c>
    </row>
    <row r="14" ht="15.75" customHeight="1">
      <c r="A14" s="1">
        <v>1500.0</v>
      </c>
      <c r="B14" s="1">
        <v>407.0</v>
      </c>
      <c r="C14" s="1">
        <v>417.0</v>
      </c>
      <c r="D14" s="1">
        <v>425.0</v>
      </c>
      <c r="E14" s="1">
        <v>434.0</v>
      </c>
      <c r="F14" s="1">
        <v>443.0</v>
      </c>
      <c r="G14" s="1">
        <v>451.0</v>
      </c>
      <c r="H14" s="1">
        <v>460.0</v>
      </c>
      <c r="I14" s="1">
        <v>468.0</v>
      </c>
      <c r="J14" s="1">
        <v>477.0</v>
      </c>
      <c r="K14" s="1">
        <v>486.0</v>
      </c>
      <c r="L14" s="1">
        <v>494.0</v>
      </c>
      <c r="M14" s="1">
        <v>503.0</v>
      </c>
      <c r="N14" s="1">
        <v>512.0</v>
      </c>
      <c r="O14" s="1">
        <v>520.0</v>
      </c>
      <c r="P14" s="1">
        <v>529.0</v>
      </c>
      <c r="Q14" s="1">
        <v>537.0</v>
      </c>
      <c r="R14" s="1">
        <v>547.0</v>
      </c>
      <c r="S14" s="1">
        <v>555.0</v>
      </c>
      <c r="T14" s="1">
        <v>563.0</v>
      </c>
      <c r="U14" s="1">
        <v>572.0</v>
      </c>
      <c r="V14" s="1">
        <v>581.0</v>
      </c>
      <c r="W14" s="1">
        <v>590.0</v>
      </c>
      <c r="X14" s="1">
        <v>598.0</v>
      </c>
      <c r="Y14" s="1">
        <v>606.0</v>
      </c>
      <c r="Z14" s="1">
        <v>616.0</v>
      </c>
      <c r="AA14" s="1">
        <v>624.0</v>
      </c>
      <c r="AB14" s="1">
        <v>633.0</v>
      </c>
      <c r="AC14" s="1">
        <v>641.0</v>
      </c>
      <c r="AD14" s="1">
        <v>650.0</v>
      </c>
      <c r="AE14" s="1">
        <v>659.0</v>
      </c>
      <c r="AF14" s="1">
        <v>667.0</v>
      </c>
      <c r="AG14" s="1">
        <v>676.0</v>
      </c>
      <c r="AH14" s="1">
        <v>685.0</v>
      </c>
      <c r="AI14" s="1">
        <v>693.0</v>
      </c>
      <c r="AJ14" s="1">
        <v>702.0</v>
      </c>
      <c r="AK14" s="1">
        <v>710.0</v>
      </c>
      <c r="AL14" s="1">
        <v>720.0</v>
      </c>
      <c r="AM14" s="1">
        <v>728.0</v>
      </c>
      <c r="AN14" s="1">
        <v>736.0</v>
      </c>
      <c r="AO14" s="1">
        <v>745.0</v>
      </c>
      <c r="AP14" s="1">
        <v>753.0</v>
      </c>
      <c r="AQ14" s="1">
        <v>763.0</v>
      </c>
      <c r="AR14" s="1">
        <v>771.0</v>
      </c>
      <c r="AS14" s="1">
        <v>779.0</v>
      </c>
      <c r="AT14" s="1">
        <v>788.0</v>
      </c>
      <c r="AU14" s="1">
        <v>797.0</v>
      </c>
      <c r="AV14" s="1">
        <v>806.0</v>
      </c>
    </row>
    <row r="15" ht="15.75" customHeight="1">
      <c r="A15" s="1">
        <v>1600.0</v>
      </c>
      <c r="B15" s="1">
        <v>415.0</v>
      </c>
      <c r="C15" s="1">
        <v>425.0</v>
      </c>
      <c r="D15" s="1">
        <v>433.0</v>
      </c>
      <c r="E15" s="1">
        <v>442.0</v>
      </c>
      <c r="F15" s="1">
        <v>451.0</v>
      </c>
      <c r="G15" s="1">
        <v>459.0</v>
      </c>
      <c r="H15" s="1">
        <v>468.0</v>
      </c>
      <c r="I15" s="1">
        <v>477.0</v>
      </c>
      <c r="J15" s="1">
        <v>485.0</v>
      </c>
      <c r="K15" s="1">
        <v>494.0</v>
      </c>
      <c r="L15" s="1">
        <v>502.0</v>
      </c>
      <c r="M15" s="1">
        <v>512.0</v>
      </c>
      <c r="N15" s="1">
        <v>520.0</v>
      </c>
      <c r="O15" s="1">
        <v>528.0</v>
      </c>
      <c r="P15" s="1">
        <v>537.0</v>
      </c>
      <c r="Q15" s="1">
        <v>546.0</v>
      </c>
      <c r="R15" s="1">
        <v>555.0</v>
      </c>
      <c r="S15" s="1">
        <v>563.0</v>
      </c>
      <c r="T15" s="1">
        <v>571.0</v>
      </c>
      <c r="U15" s="1">
        <v>581.0</v>
      </c>
      <c r="V15" s="1">
        <v>589.0</v>
      </c>
      <c r="W15" s="1">
        <v>598.0</v>
      </c>
      <c r="X15" s="1">
        <v>606.0</v>
      </c>
      <c r="Y15" s="1">
        <v>615.0</v>
      </c>
      <c r="Z15" s="1">
        <v>624.0</v>
      </c>
      <c r="AA15" s="1">
        <v>632.0</v>
      </c>
      <c r="AB15" s="1">
        <v>641.0</v>
      </c>
      <c r="AC15" s="1">
        <v>650.0</v>
      </c>
      <c r="AD15" s="1">
        <v>658.0</v>
      </c>
      <c r="AE15" s="1">
        <v>667.0</v>
      </c>
      <c r="AF15" s="1">
        <v>675.0</v>
      </c>
      <c r="AG15" s="1">
        <v>685.0</v>
      </c>
      <c r="AH15" s="1">
        <v>693.0</v>
      </c>
      <c r="AI15" s="1">
        <v>701.0</v>
      </c>
      <c r="AJ15" s="1">
        <v>710.0</v>
      </c>
      <c r="AK15" s="1">
        <v>718.0</v>
      </c>
      <c r="AL15" s="1">
        <v>728.0</v>
      </c>
      <c r="AM15" s="1">
        <v>736.0</v>
      </c>
      <c r="AN15" s="1">
        <v>744.0</v>
      </c>
      <c r="AO15" s="1">
        <v>753.0</v>
      </c>
      <c r="AP15" s="1">
        <v>762.0</v>
      </c>
      <c r="AQ15" s="1">
        <v>771.0</v>
      </c>
      <c r="AR15" s="1">
        <v>779.0</v>
      </c>
      <c r="AS15" s="1">
        <v>787.0</v>
      </c>
      <c r="AT15" s="1">
        <v>797.0</v>
      </c>
      <c r="AU15" s="1">
        <v>805.0</v>
      </c>
      <c r="AV15" s="1">
        <v>814.0</v>
      </c>
    </row>
    <row r="16" ht="15.75" customHeight="1">
      <c r="A16" s="1">
        <v>1700.0</v>
      </c>
      <c r="B16" s="1">
        <v>424.0</v>
      </c>
      <c r="C16" s="1">
        <v>433.0</v>
      </c>
      <c r="D16" s="1">
        <v>442.0</v>
      </c>
      <c r="E16" s="1">
        <v>450.0</v>
      </c>
      <c r="F16" s="1">
        <v>459.0</v>
      </c>
      <c r="G16" s="1">
        <v>467.0</v>
      </c>
      <c r="H16" s="1">
        <v>477.0</v>
      </c>
      <c r="I16" s="1">
        <v>485.0</v>
      </c>
      <c r="J16" s="1">
        <v>493.0</v>
      </c>
      <c r="K16" s="1">
        <v>502.0</v>
      </c>
      <c r="L16" s="1">
        <v>511.0</v>
      </c>
      <c r="M16" s="1">
        <v>520.0</v>
      </c>
      <c r="N16" s="1">
        <v>528.0</v>
      </c>
      <c r="O16" s="1">
        <v>536.0</v>
      </c>
      <c r="P16" s="1">
        <v>546.0</v>
      </c>
      <c r="Q16" s="1">
        <v>554.0</v>
      </c>
      <c r="R16" s="1">
        <v>563.0</v>
      </c>
      <c r="S16" s="1">
        <v>571.0</v>
      </c>
      <c r="T16" s="1">
        <v>580.0</v>
      </c>
      <c r="U16" s="1">
        <v>589.0</v>
      </c>
      <c r="V16" s="1">
        <v>597.0</v>
      </c>
      <c r="W16" s="1">
        <v>606.0</v>
      </c>
      <c r="X16" s="1">
        <v>615.0</v>
      </c>
      <c r="Y16" s="1">
        <v>623.0</v>
      </c>
      <c r="Z16" s="1">
        <v>632.0</v>
      </c>
      <c r="AA16" s="1">
        <v>640.0</v>
      </c>
      <c r="AB16" s="1">
        <v>650.0</v>
      </c>
      <c r="AC16" s="1">
        <v>658.0</v>
      </c>
      <c r="AD16" s="1">
        <v>666.0</v>
      </c>
      <c r="AE16" s="1">
        <v>675.0</v>
      </c>
      <c r="AF16" s="1">
        <v>683.0</v>
      </c>
      <c r="AG16" s="1">
        <v>693.0</v>
      </c>
      <c r="AH16" s="1">
        <v>701.0</v>
      </c>
      <c r="AI16" s="1">
        <v>709.0</v>
      </c>
      <c r="AJ16" s="1">
        <v>718.0</v>
      </c>
      <c r="AK16" s="1">
        <v>727.0</v>
      </c>
      <c r="AL16" s="1">
        <v>736.0</v>
      </c>
      <c r="AM16" s="1">
        <v>744.0</v>
      </c>
      <c r="AN16" s="1">
        <v>752.0</v>
      </c>
      <c r="AO16" s="1">
        <v>762.0</v>
      </c>
      <c r="AP16" s="1">
        <v>770.0</v>
      </c>
      <c r="AQ16" s="1">
        <v>779.0</v>
      </c>
      <c r="AR16" s="1">
        <v>787.0</v>
      </c>
      <c r="AS16" s="1">
        <v>796.0</v>
      </c>
      <c r="AT16" s="1">
        <v>805.0</v>
      </c>
      <c r="AU16" s="1">
        <v>813.0</v>
      </c>
      <c r="AV16" s="1">
        <v>822.0</v>
      </c>
    </row>
    <row r="17" ht="15.75" customHeight="1">
      <c r="A17" s="1">
        <v>1800.0</v>
      </c>
      <c r="B17" s="1">
        <v>432.0</v>
      </c>
      <c r="C17" s="1">
        <v>442.0</v>
      </c>
      <c r="D17" s="1">
        <v>450.0</v>
      </c>
      <c r="E17" s="1">
        <v>458.0</v>
      </c>
      <c r="F17" s="1">
        <v>467.0</v>
      </c>
      <c r="G17" s="1">
        <v>476.0</v>
      </c>
      <c r="H17" s="1">
        <v>485.0</v>
      </c>
      <c r="I17" s="1">
        <v>493.0</v>
      </c>
      <c r="J17" s="1">
        <v>501.0</v>
      </c>
      <c r="K17" s="1">
        <v>511.0</v>
      </c>
      <c r="L17" s="1">
        <v>519.0</v>
      </c>
      <c r="M17" s="1">
        <v>528.0</v>
      </c>
      <c r="N17" s="1">
        <v>536.0</v>
      </c>
      <c r="O17" s="1">
        <v>545.0</v>
      </c>
      <c r="P17" s="1">
        <v>554.0</v>
      </c>
      <c r="Q17" s="1">
        <v>562.0</v>
      </c>
      <c r="R17" s="1">
        <v>571.0</v>
      </c>
      <c r="S17" s="1">
        <v>580.0</v>
      </c>
      <c r="T17" s="1">
        <v>588.0</v>
      </c>
      <c r="U17" s="1">
        <v>597.0</v>
      </c>
      <c r="V17" s="1">
        <v>605.0</v>
      </c>
      <c r="W17" s="1">
        <v>615.0</v>
      </c>
      <c r="X17" s="1">
        <v>623.0</v>
      </c>
      <c r="Y17" s="1">
        <v>631.0</v>
      </c>
      <c r="Z17" s="1">
        <v>640.0</v>
      </c>
      <c r="AA17" s="1">
        <v>648.0</v>
      </c>
      <c r="AB17" s="1">
        <v>658.0</v>
      </c>
      <c r="AC17" s="1">
        <v>666.0</v>
      </c>
      <c r="AD17" s="1">
        <v>674.0</v>
      </c>
      <c r="AE17" s="1">
        <v>683.0</v>
      </c>
      <c r="AF17" s="1">
        <v>692.0</v>
      </c>
      <c r="AG17" s="1">
        <v>701.0</v>
      </c>
      <c r="AH17" s="1">
        <v>709.0</v>
      </c>
      <c r="AI17" s="1">
        <v>717.0</v>
      </c>
      <c r="AJ17" s="1">
        <v>727.0</v>
      </c>
      <c r="AK17" s="1">
        <v>735.0</v>
      </c>
      <c r="AL17" s="1">
        <v>744.0</v>
      </c>
      <c r="AM17" s="1">
        <v>752.0</v>
      </c>
      <c r="AN17" s="1">
        <v>761.0</v>
      </c>
      <c r="AO17" s="1">
        <v>770.0</v>
      </c>
      <c r="AP17" s="1">
        <v>778.0</v>
      </c>
      <c r="AQ17" s="1">
        <v>787.0</v>
      </c>
      <c r="AR17" s="1">
        <v>796.0</v>
      </c>
      <c r="AS17" s="1">
        <v>804.0</v>
      </c>
      <c r="AT17" s="1">
        <v>813.0</v>
      </c>
      <c r="AU17" s="1">
        <v>821.0</v>
      </c>
      <c r="AV17" s="1">
        <v>831.0</v>
      </c>
    </row>
    <row r="18" ht="15.75" customHeight="1">
      <c r="A18" s="1">
        <v>1900.0</v>
      </c>
      <c r="B18" s="1">
        <v>440.0</v>
      </c>
      <c r="C18" s="1">
        <v>450.0</v>
      </c>
      <c r="D18" s="1">
        <v>458.0</v>
      </c>
      <c r="E18" s="1">
        <v>466.0</v>
      </c>
      <c r="F18" s="1">
        <v>476.0</v>
      </c>
      <c r="G18" s="1">
        <v>484.0</v>
      </c>
      <c r="H18" s="1">
        <v>493.0</v>
      </c>
      <c r="I18" s="1">
        <v>501.0</v>
      </c>
      <c r="J18" s="1">
        <v>510.0</v>
      </c>
      <c r="K18" s="1">
        <v>519.0</v>
      </c>
      <c r="L18" s="1">
        <v>527.0</v>
      </c>
      <c r="M18" s="1">
        <v>536.0</v>
      </c>
      <c r="N18" s="1">
        <v>545.0</v>
      </c>
      <c r="O18" s="1">
        <v>553.0</v>
      </c>
      <c r="P18" s="1">
        <v>562.0</v>
      </c>
      <c r="Q18" s="1">
        <v>570.0</v>
      </c>
      <c r="R18" s="1">
        <v>580.0</v>
      </c>
      <c r="S18" s="1">
        <v>588.0</v>
      </c>
      <c r="T18" s="1">
        <v>596.0</v>
      </c>
      <c r="U18" s="1">
        <v>605.0</v>
      </c>
      <c r="V18" s="1">
        <v>614.0</v>
      </c>
      <c r="W18" s="1">
        <v>623.0</v>
      </c>
      <c r="X18" s="1">
        <v>631.0</v>
      </c>
      <c r="Y18" s="1">
        <v>639.0</v>
      </c>
      <c r="Z18" s="1">
        <v>648.0</v>
      </c>
      <c r="AA18" s="1">
        <v>657.0</v>
      </c>
      <c r="AB18" s="1">
        <v>666.0</v>
      </c>
      <c r="AC18" s="1">
        <v>674.0</v>
      </c>
      <c r="AD18" s="1">
        <v>682.0</v>
      </c>
      <c r="AE18" s="1">
        <v>692.0</v>
      </c>
      <c r="AF18" s="1">
        <v>700.0</v>
      </c>
      <c r="AG18" s="1">
        <v>709.0</v>
      </c>
      <c r="AH18" s="1">
        <v>717.0</v>
      </c>
      <c r="AI18" s="1">
        <v>726.0</v>
      </c>
      <c r="AJ18" s="1">
        <v>735.0</v>
      </c>
      <c r="AK18" s="1">
        <v>743.0</v>
      </c>
      <c r="AL18" s="1">
        <v>752.0</v>
      </c>
      <c r="AM18" s="1">
        <v>761.0</v>
      </c>
      <c r="AN18" s="1">
        <v>769.0</v>
      </c>
      <c r="AO18" s="1">
        <v>778.0</v>
      </c>
      <c r="AP18" s="1">
        <v>786.0</v>
      </c>
      <c r="AQ18" s="1">
        <v>796.0</v>
      </c>
      <c r="AR18" s="1">
        <v>804.0</v>
      </c>
      <c r="AS18" s="1">
        <v>812.0</v>
      </c>
      <c r="AT18" s="1">
        <v>821.0</v>
      </c>
      <c r="AU18" s="1">
        <v>830.0</v>
      </c>
      <c r="AV18" s="1">
        <v>839.0</v>
      </c>
    </row>
    <row r="19" ht="15.75" customHeight="1">
      <c r="A19" s="1">
        <v>2000.0</v>
      </c>
      <c r="B19" s="1">
        <v>448.0</v>
      </c>
      <c r="C19" s="1">
        <v>458.0</v>
      </c>
      <c r="D19" s="1">
        <v>466.0</v>
      </c>
      <c r="E19" s="1">
        <v>475.0</v>
      </c>
      <c r="F19" s="1">
        <v>484.0</v>
      </c>
      <c r="G19" s="1">
        <v>492.0</v>
      </c>
      <c r="H19" s="1">
        <v>501.0</v>
      </c>
      <c r="I19" s="1">
        <v>510.0</v>
      </c>
      <c r="J19" s="1">
        <v>518.0</v>
      </c>
      <c r="K19" s="1">
        <v>527.0</v>
      </c>
      <c r="L19" s="1">
        <v>535.0</v>
      </c>
      <c r="M19" s="1">
        <v>545.0</v>
      </c>
      <c r="N19" s="1">
        <v>553.0</v>
      </c>
      <c r="O19" s="1">
        <v>561.0</v>
      </c>
      <c r="P19" s="1">
        <v>570.0</v>
      </c>
      <c r="Q19" s="1">
        <v>579.0</v>
      </c>
      <c r="R19" s="1">
        <v>588.0</v>
      </c>
      <c r="S19" s="1">
        <v>596.0</v>
      </c>
      <c r="T19" s="1">
        <v>604.0</v>
      </c>
      <c r="U19" s="1">
        <v>614.0</v>
      </c>
      <c r="V19" s="1">
        <v>622.0</v>
      </c>
      <c r="W19" s="1">
        <v>631.0</v>
      </c>
      <c r="X19" s="1">
        <v>639.0</v>
      </c>
      <c r="Y19" s="1">
        <v>647.0</v>
      </c>
      <c r="Z19" s="1">
        <v>657.0</v>
      </c>
      <c r="AA19" s="1">
        <v>665.0</v>
      </c>
      <c r="AB19" s="1">
        <v>674.0</v>
      </c>
      <c r="AC19" s="1">
        <v>682.0</v>
      </c>
      <c r="AD19" s="1">
        <v>691.0</v>
      </c>
      <c r="AE19" s="1">
        <v>700.0</v>
      </c>
      <c r="AF19" s="1">
        <v>708.0</v>
      </c>
      <c r="AG19" s="1">
        <v>717.0</v>
      </c>
      <c r="AH19" s="1">
        <v>726.0</v>
      </c>
      <c r="AI19" s="1">
        <v>734.0</v>
      </c>
      <c r="AJ19" s="1">
        <v>743.0</v>
      </c>
      <c r="AK19" s="1">
        <v>751.0</v>
      </c>
      <c r="AL19" s="1">
        <v>761.0</v>
      </c>
      <c r="AM19" s="1">
        <v>769.0</v>
      </c>
      <c r="AN19" s="1">
        <v>777.0</v>
      </c>
      <c r="AO19" s="1">
        <v>786.0</v>
      </c>
      <c r="AP19" s="1">
        <v>795.0</v>
      </c>
      <c r="AQ19" s="1">
        <v>804.0</v>
      </c>
      <c r="AR19" s="1">
        <v>812.0</v>
      </c>
      <c r="AS19" s="1">
        <v>820.0</v>
      </c>
      <c r="AT19" s="1">
        <v>830.0</v>
      </c>
      <c r="AU19" s="1">
        <v>838.0</v>
      </c>
      <c r="AV19" s="1">
        <v>847.0</v>
      </c>
    </row>
    <row r="20" ht="15.75" customHeight="1">
      <c r="A20" s="1">
        <v>2100.0</v>
      </c>
      <c r="B20" s="1">
        <v>457.0</v>
      </c>
      <c r="C20" s="1">
        <v>466.0</v>
      </c>
      <c r="D20" s="1">
        <v>475.0</v>
      </c>
      <c r="E20" s="1">
        <v>483.0</v>
      </c>
      <c r="F20" s="1">
        <v>492.0</v>
      </c>
      <c r="G20" s="1">
        <v>500.0</v>
      </c>
      <c r="H20" s="1">
        <v>510.0</v>
      </c>
      <c r="I20" s="1">
        <v>518.0</v>
      </c>
      <c r="J20" s="1">
        <v>526.0</v>
      </c>
      <c r="K20" s="1">
        <v>535.0</v>
      </c>
      <c r="L20" s="1">
        <v>544.0</v>
      </c>
      <c r="M20" s="1">
        <v>553.0</v>
      </c>
      <c r="N20" s="1">
        <v>561.0</v>
      </c>
      <c r="O20" s="1">
        <v>569.0</v>
      </c>
      <c r="P20" s="1">
        <v>578.0</v>
      </c>
      <c r="Q20" s="1">
        <v>587.0</v>
      </c>
      <c r="R20" s="1">
        <v>596.0</v>
      </c>
      <c r="S20" s="1">
        <v>604.0</v>
      </c>
      <c r="T20" s="1">
        <v>612.0</v>
      </c>
      <c r="U20" s="1">
        <v>622.0</v>
      </c>
      <c r="V20" s="1">
        <v>630.0</v>
      </c>
      <c r="W20" s="1">
        <v>639.0</v>
      </c>
      <c r="X20" s="1">
        <v>647.0</v>
      </c>
      <c r="Y20" s="1">
        <v>656.0</v>
      </c>
      <c r="Z20" s="1">
        <v>665.0</v>
      </c>
      <c r="AA20" s="1">
        <v>673.0</v>
      </c>
      <c r="AB20" s="1">
        <v>682.0</v>
      </c>
      <c r="AC20" s="1">
        <v>691.0</v>
      </c>
      <c r="AD20" s="1">
        <v>699.0</v>
      </c>
      <c r="AE20" s="1">
        <v>708.0</v>
      </c>
      <c r="AF20" s="1">
        <v>716.0</v>
      </c>
      <c r="AG20" s="1">
        <v>726.0</v>
      </c>
      <c r="AH20" s="1">
        <v>734.0</v>
      </c>
      <c r="AI20" s="1">
        <v>742.0</v>
      </c>
      <c r="AJ20" s="1">
        <v>751.0</v>
      </c>
      <c r="AK20" s="1">
        <v>760.0</v>
      </c>
      <c r="AL20" s="1">
        <v>769.0</v>
      </c>
      <c r="AM20" s="1">
        <v>777.0</v>
      </c>
      <c r="AN20" s="1">
        <v>785.0</v>
      </c>
      <c r="AO20" s="1">
        <v>795.0</v>
      </c>
      <c r="AP20" s="1">
        <v>803.0</v>
      </c>
      <c r="AQ20" s="1">
        <v>812.0</v>
      </c>
      <c r="AR20" s="1">
        <v>820.0</v>
      </c>
      <c r="AS20" s="1">
        <v>829.0</v>
      </c>
      <c r="AT20" s="1">
        <v>838.0</v>
      </c>
      <c r="AU20" s="1">
        <v>846.0</v>
      </c>
      <c r="AV20" s="1">
        <v>855.0</v>
      </c>
    </row>
    <row r="21" ht="15.75" customHeight="1">
      <c r="A21" s="1">
        <v>2200.0</v>
      </c>
      <c r="B21" s="1">
        <v>465.0</v>
      </c>
      <c r="C21" s="1">
        <v>475.0</v>
      </c>
      <c r="D21" s="1">
        <v>483.0</v>
      </c>
      <c r="E21" s="1">
        <v>491.0</v>
      </c>
      <c r="F21" s="1">
        <v>500.0</v>
      </c>
      <c r="G21" s="1">
        <v>509.0</v>
      </c>
      <c r="H21" s="1">
        <v>518.0</v>
      </c>
      <c r="I21" s="1">
        <v>526.0</v>
      </c>
      <c r="J21" s="1">
        <v>534.0</v>
      </c>
      <c r="K21" s="1">
        <v>544.0</v>
      </c>
      <c r="L21" s="1">
        <v>552.0</v>
      </c>
      <c r="M21" s="1">
        <v>561.0</v>
      </c>
      <c r="N21" s="1">
        <v>569.0</v>
      </c>
      <c r="O21" s="1">
        <v>577.0</v>
      </c>
      <c r="P21" s="1">
        <v>587.0</v>
      </c>
      <c r="Q21" s="1">
        <v>595.0</v>
      </c>
      <c r="R21" s="1">
        <v>604.0</v>
      </c>
      <c r="S21" s="1">
        <v>612.0</v>
      </c>
      <c r="T21" s="1">
        <v>621.0</v>
      </c>
      <c r="U21" s="1">
        <v>630.0</v>
      </c>
      <c r="V21" s="1">
        <v>638.0</v>
      </c>
      <c r="W21" s="1">
        <v>647.0</v>
      </c>
      <c r="X21" s="1">
        <v>656.0</v>
      </c>
      <c r="Y21" s="1">
        <v>664.0</v>
      </c>
      <c r="Z21" s="1">
        <v>673.0</v>
      </c>
      <c r="AA21" s="1">
        <v>681.0</v>
      </c>
      <c r="AB21" s="1">
        <v>691.0</v>
      </c>
      <c r="AC21" s="1">
        <v>699.0</v>
      </c>
      <c r="AD21" s="1">
        <v>707.0</v>
      </c>
      <c r="AE21" s="1">
        <v>716.0</v>
      </c>
      <c r="AF21" s="1">
        <v>725.0</v>
      </c>
      <c r="AG21" s="1">
        <v>734.0</v>
      </c>
      <c r="AH21" s="1">
        <v>742.0</v>
      </c>
      <c r="AI21" s="1">
        <v>750.0</v>
      </c>
      <c r="AJ21" s="1">
        <v>760.0</v>
      </c>
      <c r="AK21" s="1">
        <v>768.0</v>
      </c>
      <c r="AL21" s="1">
        <v>777.0</v>
      </c>
      <c r="AM21" s="1">
        <v>785.0</v>
      </c>
      <c r="AN21" s="1">
        <v>794.0</v>
      </c>
      <c r="AO21" s="1">
        <v>803.0</v>
      </c>
      <c r="AP21" s="1">
        <v>811.0</v>
      </c>
      <c r="AQ21" s="1">
        <v>820.0</v>
      </c>
      <c r="AR21" s="1">
        <v>829.0</v>
      </c>
      <c r="AS21" s="1">
        <v>837.0</v>
      </c>
      <c r="AT21" s="1">
        <v>846.0</v>
      </c>
      <c r="AU21" s="1">
        <v>854.0</v>
      </c>
      <c r="AV21" s="1">
        <v>864.0</v>
      </c>
    </row>
    <row r="22" ht="15.75" customHeight="1">
      <c r="A22" s="1">
        <v>2300.0</v>
      </c>
      <c r="B22" s="1">
        <v>473.0</v>
      </c>
      <c r="C22" s="1">
        <v>483.0</v>
      </c>
      <c r="D22" s="1">
        <v>491.0</v>
      </c>
      <c r="E22" s="1">
        <v>499.0</v>
      </c>
      <c r="F22" s="1">
        <v>508.0</v>
      </c>
      <c r="G22" s="1">
        <v>517.0</v>
      </c>
      <c r="H22" s="1">
        <v>526.0</v>
      </c>
      <c r="I22" s="1">
        <v>534.0</v>
      </c>
      <c r="J22" s="1">
        <v>542.0</v>
      </c>
      <c r="K22" s="1">
        <v>552.0</v>
      </c>
      <c r="L22" s="1">
        <v>560.0</v>
      </c>
      <c r="M22" s="1">
        <v>569.0</v>
      </c>
      <c r="N22" s="1">
        <v>577.0</v>
      </c>
      <c r="O22" s="1">
        <v>586.0</v>
      </c>
      <c r="P22" s="1">
        <v>595.0</v>
      </c>
      <c r="Q22" s="1">
        <v>603.0</v>
      </c>
      <c r="R22" s="1">
        <v>612.0</v>
      </c>
      <c r="S22" s="1">
        <v>621.0</v>
      </c>
      <c r="T22" s="1">
        <v>629.0</v>
      </c>
      <c r="U22" s="1">
        <v>638.0</v>
      </c>
      <c r="V22" s="1">
        <v>646.0</v>
      </c>
      <c r="W22" s="1">
        <v>656.0</v>
      </c>
      <c r="X22" s="1">
        <v>664.0</v>
      </c>
      <c r="Y22" s="1">
        <v>672.0</v>
      </c>
      <c r="Z22" s="1">
        <v>681.0</v>
      </c>
      <c r="AA22" s="1">
        <v>690.0</v>
      </c>
      <c r="AB22" s="1">
        <v>699.0</v>
      </c>
      <c r="AC22" s="1">
        <v>707.0</v>
      </c>
      <c r="AD22" s="1">
        <v>715.0</v>
      </c>
      <c r="AE22" s="1">
        <v>725.0</v>
      </c>
      <c r="AF22" s="1">
        <v>733.0</v>
      </c>
      <c r="AG22" s="1">
        <v>742.0</v>
      </c>
      <c r="AH22" s="1">
        <v>750.0</v>
      </c>
      <c r="AI22" s="1">
        <v>759.0</v>
      </c>
      <c r="AJ22" s="1">
        <v>768.0</v>
      </c>
      <c r="AK22" s="1">
        <v>776.0</v>
      </c>
      <c r="AL22" s="1">
        <v>785.0</v>
      </c>
      <c r="AM22" s="1">
        <v>794.0</v>
      </c>
      <c r="AN22" s="1">
        <v>802.0</v>
      </c>
      <c r="AO22" s="1">
        <v>811.0</v>
      </c>
      <c r="AP22" s="1">
        <v>819.0</v>
      </c>
      <c r="AQ22" s="1">
        <v>828.0</v>
      </c>
      <c r="AR22" s="1">
        <v>837.0</v>
      </c>
      <c r="AS22" s="1">
        <v>845.0</v>
      </c>
      <c r="AT22" s="1">
        <v>854.0</v>
      </c>
      <c r="AU22" s="1">
        <v>862.0</v>
      </c>
      <c r="AV22" s="1">
        <v>872.0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8" width="12.57"/>
  </cols>
  <sheetData>
    <row r="1" ht="15.75" customHeight="1">
      <c r="A1" s="1" t="s">
        <v>15</v>
      </c>
      <c r="B1" s="1" t="s">
        <v>745</v>
      </c>
      <c r="C1" s="1" t="s">
        <v>753</v>
      </c>
      <c r="D1" s="1"/>
      <c r="E1" s="1"/>
      <c r="F1" s="1"/>
      <c r="G1" s="1"/>
      <c r="H1" s="1"/>
      <c r="I1" s="1"/>
      <c r="J1" s="1"/>
      <c r="K1" s="1"/>
      <c r="L1" s="1"/>
      <c r="M1" s="1"/>
      <c r="N1" s="1"/>
      <c r="O1" s="1"/>
      <c r="P1" s="1"/>
      <c r="Q1" s="1"/>
      <c r="R1" s="1"/>
      <c r="S1" s="1"/>
      <c r="T1" s="1"/>
      <c r="U1" s="1"/>
      <c r="V1" s="1"/>
      <c r="W1" s="1"/>
      <c r="X1" s="1"/>
      <c r="Y1" s="1"/>
      <c r="Z1" s="1"/>
      <c r="AA1" s="1"/>
      <c r="AB1" s="1"/>
    </row>
    <row r="2" ht="15.75" customHeight="1">
      <c r="B2" s="1">
        <v>600.0</v>
      </c>
      <c r="C2" s="1">
        <v>700.0</v>
      </c>
      <c r="D2" s="1">
        <v>800.0</v>
      </c>
      <c r="E2" s="1">
        <v>900.0</v>
      </c>
      <c r="F2" s="1">
        <v>1000.0</v>
      </c>
      <c r="G2" s="1">
        <v>1100.0</v>
      </c>
      <c r="H2" s="1">
        <v>1200.0</v>
      </c>
      <c r="I2" s="1">
        <v>1300.0</v>
      </c>
      <c r="J2" s="1">
        <v>1400.0</v>
      </c>
      <c r="K2" s="1">
        <v>1500.0</v>
      </c>
      <c r="L2" s="1">
        <v>1600.0</v>
      </c>
      <c r="M2" s="1">
        <v>1700.0</v>
      </c>
      <c r="N2" s="1">
        <v>1800.0</v>
      </c>
      <c r="O2" s="1">
        <v>1900.0</v>
      </c>
      <c r="P2" s="1">
        <v>2000.0</v>
      </c>
      <c r="Q2" s="1">
        <v>2100.0</v>
      </c>
      <c r="R2" s="1">
        <v>2200.0</v>
      </c>
      <c r="S2" s="1">
        <v>2300.0</v>
      </c>
      <c r="T2" s="1">
        <v>2400.0</v>
      </c>
      <c r="U2" s="1">
        <v>2500.0</v>
      </c>
      <c r="V2" s="1">
        <v>2600.0</v>
      </c>
      <c r="W2" s="1">
        <v>2700.0</v>
      </c>
      <c r="X2" s="1">
        <v>2800.0</v>
      </c>
      <c r="Y2" s="1">
        <v>2900.0</v>
      </c>
      <c r="Z2" s="1">
        <v>3000.0</v>
      </c>
      <c r="AA2" s="1">
        <v>3100.0</v>
      </c>
      <c r="AB2" s="1">
        <v>3200.0</v>
      </c>
    </row>
    <row r="3" ht="15.75" customHeight="1">
      <c r="A3" s="1">
        <v>600.0</v>
      </c>
      <c r="B3" s="1">
        <v>259.3</v>
      </c>
      <c r="C3" s="1">
        <v>288.0</v>
      </c>
      <c r="D3" s="1">
        <v>316.29</v>
      </c>
      <c r="E3" s="1">
        <v>342.0</v>
      </c>
      <c r="F3" s="1">
        <v>370.29</v>
      </c>
      <c r="G3" s="1">
        <v>398.57</v>
      </c>
      <c r="H3" s="1">
        <v>424.29</v>
      </c>
      <c r="I3" s="1">
        <v>452.57</v>
      </c>
      <c r="J3" s="1">
        <v>480.86</v>
      </c>
      <c r="K3" s="1">
        <v>506.57</v>
      </c>
      <c r="L3" s="1">
        <v>534.86</v>
      </c>
      <c r="M3" s="1">
        <v>560.57</v>
      </c>
      <c r="N3" s="1">
        <v>588.86</v>
      </c>
      <c r="O3" s="1">
        <v>617.14</v>
      </c>
      <c r="P3" s="1">
        <v>645.43</v>
      </c>
      <c r="Q3" s="1">
        <v>671.14</v>
      </c>
      <c r="R3" s="1">
        <v>699.43</v>
      </c>
      <c r="S3" s="1">
        <v>727.71</v>
      </c>
      <c r="T3" s="1">
        <v>753.43</v>
      </c>
      <c r="U3" s="1">
        <v>781.71</v>
      </c>
      <c r="V3" s="1">
        <v>807.43</v>
      </c>
      <c r="W3" s="1">
        <v>835.71</v>
      </c>
      <c r="X3" s="1">
        <v>864.0</v>
      </c>
      <c r="Y3" s="1">
        <v>889.71</v>
      </c>
      <c r="Z3" s="1">
        <v>918.0</v>
      </c>
      <c r="AA3" s="1">
        <v>946.29</v>
      </c>
      <c r="AB3" s="1">
        <v>972.0</v>
      </c>
    </row>
    <row r="4" ht="15.75" customHeight="1">
      <c r="A4" s="1">
        <v>700.0</v>
      </c>
      <c r="B4" s="1">
        <v>288.0</v>
      </c>
      <c r="C4" s="1">
        <v>318.86</v>
      </c>
      <c r="D4" s="1">
        <v>349.71</v>
      </c>
      <c r="E4" s="1">
        <v>380.57</v>
      </c>
      <c r="F4" s="1">
        <v>411.43</v>
      </c>
      <c r="G4" s="1">
        <v>439.71</v>
      </c>
      <c r="H4" s="1">
        <v>470.57</v>
      </c>
      <c r="I4" s="1">
        <v>501.43</v>
      </c>
      <c r="J4" s="1">
        <v>532.29</v>
      </c>
      <c r="K4" s="1">
        <v>563.14</v>
      </c>
      <c r="L4" s="1">
        <v>591.43</v>
      </c>
      <c r="M4" s="1">
        <v>622.29</v>
      </c>
      <c r="N4" s="1">
        <v>653.14</v>
      </c>
      <c r="O4" s="1">
        <v>684.0</v>
      </c>
      <c r="P4" s="1">
        <v>714.86</v>
      </c>
      <c r="Q4" s="1">
        <v>745.71</v>
      </c>
      <c r="R4" s="1">
        <v>774.0</v>
      </c>
      <c r="S4" s="1">
        <v>804.86</v>
      </c>
      <c r="T4" s="1">
        <v>835.71</v>
      </c>
      <c r="U4" s="1">
        <v>866.57</v>
      </c>
      <c r="V4" s="1">
        <v>897.43</v>
      </c>
      <c r="W4" s="1">
        <v>928.29</v>
      </c>
      <c r="X4" s="1">
        <v>959.14</v>
      </c>
      <c r="Y4" s="1">
        <v>1018.29</v>
      </c>
      <c r="Z4" s="1">
        <v>1018.29</v>
      </c>
      <c r="AA4" s="1">
        <v>1049.14</v>
      </c>
      <c r="AB4" s="1">
        <v>1080.0</v>
      </c>
    </row>
    <row r="5" ht="15.75" customHeight="1">
      <c r="A5" s="1">
        <v>800.0</v>
      </c>
      <c r="B5" s="1">
        <v>316.29</v>
      </c>
      <c r="C5" s="1">
        <v>349.71</v>
      </c>
      <c r="D5" s="1">
        <v>383.14</v>
      </c>
      <c r="E5" s="1">
        <v>416.57</v>
      </c>
      <c r="F5" s="1">
        <v>450.0</v>
      </c>
      <c r="G5" s="1">
        <v>483.43</v>
      </c>
      <c r="H5" s="1">
        <v>516.86</v>
      </c>
      <c r="I5" s="1">
        <v>550.29</v>
      </c>
      <c r="J5" s="1">
        <v>583.71</v>
      </c>
      <c r="K5" s="1">
        <v>617.14</v>
      </c>
      <c r="L5" s="1">
        <v>650.57</v>
      </c>
      <c r="M5" s="1">
        <v>684.0</v>
      </c>
      <c r="N5" s="1">
        <v>717.43</v>
      </c>
      <c r="O5" s="1">
        <v>750.86</v>
      </c>
      <c r="P5" s="1">
        <v>786.86</v>
      </c>
      <c r="Q5" s="1">
        <v>820.29</v>
      </c>
      <c r="R5" s="1">
        <v>851.14</v>
      </c>
      <c r="S5" s="1">
        <v>887.14</v>
      </c>
      <c r="T5" s="1">
        <v>920.57</v>
      </c>
      <c r="U5" s="1">
        <v>954.0</v>
      </c>
      <c r="V5" s="1">
        <v>987.43</v>
      </c>
      <c r="W5" s="1">
        <v>1020.86</v>
      </c>
      <c r="X5" s="1">
        <v>1054.29</v>
      </c>
      <c r="Y5" s="1">
        <v>1121.14</v>
      </c>
      <c r="Z5" s="1">
        <v>1121.14</v>
      </c>
      <c r="AA5" s="1">
        <v>1154.57</v>
      </c>
      <c r="AB5" s="1">
        <v>1188.0</v>
      </c>
    </row>
    <row r="6" ht="15.75" customHeight="1">
      <c r="A6" s="1">
        <v>900.0</v>
      </c>
      <c r="B6" s="1">
        <v>342.0</v>
      </c>
      <c r="C6" s="1">
        <v>380.57</v>
      </c>
      <c r="D6" s="1">
        <v>416.57</v>
      </c>
      <c r="E6" s="1">
        <v>452.57</v>
      </c>
      <c r="F6" s="1">
        <v>491.14</v>
      </c>
      <c r="G6" s="1">
        <v>527.14</v>
      </c>
      <c r="H6" s="1">
        <v>563.14</v>
      </c>
      <c r="I6" s="1">
        <v>599.14</v>
      </c>
      <c r="J6" s="1">
        <v>635.14</v>
      </c>
      <c r="K6" s="1">
        <v>673.71</v>
      </c>
      <c r="L6" s="1">
        <v>709.71</v>
      </c>
      <c r="M6" s="1">
        <v>745.71</v>
      </c>
      <c r="N6" s="1">
        <v>781.71</v>
      </c>
      <c r="O6" s="1">
        <v>817.71</v>
      </c>
      <c r="P6" s="1">
        <v>856.29</v>
      </c>
      <c r="Q6" s="1">
        <v>892.29</v>
      </c>
      <c r="R6" s="1">
        <v>928.29</v>
      </c>
      <c r="S6" s="1">
        <v>966.86</v>
      </c>
      <c r="T6" s="1">
        <v>1002.86</v>
      </c>
      <c r="U6" s="1">
        <v>1038.86</v>
      </c>
      <c r="V6" s="1">
        <v>1074.86</v>
      </c>
      <c r="W6" s="1">
        <v>1110.86</v>
      </c>
      <c r="X6" s="1">
        <v>1149.43</v>
      </c>
      <c r="Y6" s="1">
        <v>1221.43</v>
      </c>
      <c r="Z6" s="1">
        <v>1221.43</v>
      </c>
      <c r="AA6" s="1">
        <v>1257.43</v>
      </c>
      <c r="AB6" s="1">
        <v>1296.0</v>
      </c>
    </row>
    <row r="7" ht="15.75" customHeight="1">
      <c r="A7" s="1">
        <v>1000.0</v>
      </c>
      <c r="B7" s="1">
        <v>370.29</v>
      </c>
      <c r="C7" s="1">
        <v>411.43</v>
      </c>
      <c r="D7" s="1">
        <v>450.0</v>
      </c>
      <c r="E7" s="1">
        <v>491.14</v>
      </c>
      <c r="F7" s="1">
        <v>529.71</v>
      </c>
      <c r="G7" s="1">
        <v>568.29</v>
      </c>
      <c r="H7" s="1">
        <v>609.43</v>
      </c>
      <c r="I7" s="1">
        <v>648.0</v>
      </c>
      <c r="J7" s="1">
        <v>689.14</v>
      </c>
      <c r="K7" s="1">
        <v>727.71</v>
      </c>
      <c r="L7" s="1">
        <v>768.86</v>
      </c>
      <c r="M7" s="1">
        <v>807.43</v>
      </c>
      <c r="N7" s="1">
        <v>848.57</v>
      </c>
      <c r="O7" s="1">
        <v>887.14</v>
      </c>
      <c r="P7" s="1">
        <v>928.29</v>
      </c>
      <c r="Q7" s="1">
        <v>966.86</v>
      </c>
      <c r="R7" s="1">
        <v>1005.43</v>
      </c>
      <c r="S7" s="1">
        <v>1046.57</v>
      </c>
      <c r="T7" s="1">
        <v>1085.14</v>
      </c>
      <c r="U7" s="1">
        <v>1126.29</v>
      </c>
      <c r="V7" s="1">
        <v>1164.86</v>
      </c>
      <c r="W7" s="1">
        <v>1203.43</v>
      </c>
      <c r="X7" s="1">
        <v>1244.57</v>
      </c>
      <c r="Y7" s="1">
        <v>1324.29</v>
      </c>
      <c r="Z7" s="1">
        <v>1324.29</v>
      </c>
      <c r="AA7" s="1">
        <v>1362.86</v>
      </c>
      <c r="AB7" s="1">
        <v>1404.0</v>
      </c>
    </row>
    <row r="8" ht="15.75" customHeight="1">
      <c r="A8" s="1">
        <v>1100.0</v>
      </c>
      <c r="B8" s="1">
        <v>398.57</v>
      </c>
      <c r="C8" s="1">
        <v>439.71</v>
      </c>
      <c r="D8" s="1">
        <v>483.43</v>
      </c>
      <c r="E8" s="1">
        <v>527.14</v>
      </c>
      <c r="F8" s="1">
        <v>568.29</v>
      </c>
      <c r="G8" s="1">
        <v>612.0</v>
      </c>
      <c r="H8" s="1">
        <v>653.14</v>
      </c>
      <c r="I8" s="1">
        <v>696.86</v>
      </c>
      <c r="J8" s="1">
        <v>740.57</v>
      </c>
      <c r="K8" s="1">
        <v>784.29</v>
      </c>
      <c r="L8" s="1">
        <v>825.43</v>
      </c>
      <c r="M8" s="1">
        <v>869.14</v>
      </c>
      <c r="N8" s="1">
        <v>912.86</v>
      </c>
      <c r="O8" s="1">
        <v>954.0</v>
      </c>
      <c r="P8" s="1">
        <v>997.71</v>
      </c>
      <c r="Q8" s="1">
        <v>1038.86</v>
      </c>
      <c r="R8" s="1">
        <v>1082.57</v>
      </c>
      <c r="S8" s="1">
        <v>1126.29</v>
      </c>
      <c r="T8" s="1">
        <v>1167.43</v>
      </c>
      <c r="U8" s="1">
        <v>1211.14</v>
      </c>
      <c r="V8" s="1">
        <v>1254.86</v>
      </c>
      <c r="W8" s="1">
        <v>1296.0</v>
      </c>
      <c r="X8" s="1">
        <v>1339.71</v>
      </c>
      <c r="Y8" s="1">
        <v>1424.57</v>
      </c>
      <c r="Z8" s="1">
        <v>1424.57</v>
      </c>
      <c r="AA8" s="1">
        <v>1468.29</v>
      </c>
      <c r="AB8" s="1">
        <v>1509.43</v>
      </c>
    </row>
    <row r="9" ht="15.75" customHeight="1">
      <c r="A9" s="1">
        <v>1200.0</v>
      </c>
      <c r="B9" s="1">
        <v>424.29</v>
      </c>
      <c r="C9" s="1">
        <v>470.57</v>
      </c>
      <c r="D9" s="1">
        <v>516.86</v>
      </c>
      <c r="E9" s="1">
        <v>563.14</v>
      </c>
      <c r="F9" s="1">
        <v>609.43</v>
      </c>
      <c r="G9" s="1">
        <v>653.14</v>
      </c>
      <c r="H9" s="1">
        <v>699.43</v>
      </c>
      <c r="I9" s="1">
        <v>745.71</v>
      </c>
      <c r="J9" s="1">
        <v>792.0</v>
      </c>
      <c r="K9" s="1">
        <v>838.29</v>
      </c>
      <c r="L9" s="1">
        <v>884.57</v>
      </c>
      <c r="M9" s="1">
        <v>928.29</v>
      </c>
      <c r="N9" s="1">
        <v>974.57</v>
      </c>
      <c r="O9" s="1">
        <v>1020.86</v>
      </c>
      <c r="P9" s="1">
        <v>1067.14</v>
      </c>
      <c r="Q9" s="1">
        <v>1113.43</v>
      </c>
      <c r="R9" s="1">
        <v>1159.71</v>
      </c>
      <c r="S9" s="1">
        <v>1206.0</v>
      </c>
      <c r="T9" s="1">
        <v>1249.71</v>
      </c>
      <c r="U9" s="1">
        <v>1296.0</v>
      </c>
      <c r="V9" s="1">
        <v>1342.29</v>
      </c>
      <c r="W9" s="1">
        <v>1388.57</v>
      </c>
      <c r="X9" s="1">
        <v>1434.86</v>
      </c>
      <c r="Y9" s="1">
        <v>1527.43</v>
      </c>
      <c r="Z9" s="1">
        <v>1527.43</v>
      </c>
      <c r="AA9" s="1">
        <v>1571.14</v>
      </c>
      <c r="AB9" s="1">
        <v>1617.43</v>
      </c>
    </row>
    <row r="10" ht="15.75" customHeight="1">
      <c r="A10" s="1">
        <v>1300.0</v>
      </c>
      <c r="B10" s="1">
        <v>542.57</v>
      </c>
      <c r="C10" s="1">
        <v>594.0</v>
      </c>
      <c r="D10" s="1">
        <v>648.0</v>
      </c>
      <c r="E10" s="1">
        <v>699.43</v>
      </c>
      <c r="F10" s="1">
        <v>753.43</v>
      </c>
      <c r="G10" s="1">
        <v>804.86</v>
      </c>
      <c r="H10" s="1">
        <v>856.29</v>
      </c>
      <c r="I10" s="1">
        <v>910.29</v>
      </c>
      <c r="J10" s="1">
        <v>964.29</v>
      </c>
      <c r="K10" s="1">
        <v>1015.71</v>
      </c>
      <c r="L10" s="1">
        <v>1069.71</v>
      </c>
      <c r="M10" s="1">
        <v>1121.14</v>
      </c>
      <c r="N10" s="1">
        <v>1175.14</v>
      </c>
      <c r="O10" s="1">
        <v>1226.57</v>
      </c>
      <c r="P10" s="1">
        <v>1280.57</v>
      </c>
      <c r="Q10" s="1">
        <v>1332.0</v>
      </c>
      <c r="R10" s="1">
        <v>1386.0</v>
      </c>
      <c r="S10" s="1">
        <v>1437.43</v>
      </c>
      <c r="T10" s="1">
        <v>1491.43</v>
      </c>
      <c r="U10" s="1">
        <v>1542.86</v>
      </c>
      <c r="V10" s="1">
        <v>1596.86</v>
      </c>
      <c r="W10" s="1">
        <v>1648.29</v>
      </c>
      <c r="X10" s="1">
        <v>1702.29</v>
      </c>
      <c r="Y10" s="1">
        <v>1753.71</v>
      </c>
      <c r="Z10" s="1">
        <v>1807.71</v>
      </c>
      <c r="AA10" s="1">
        <v>1859.14</v>
      </c>
      <c r="AB10" s="1">
        <v>1913.14</v>
      </c>
    </row>
    <row r="11" ht="15.75" customHeight="1">
      <c r="A11" s="1">
        <v>1400.0</v>
      </c>
      <c r="B11" s="1">
        <v>573.43</v>
      </c>
      <c r="C11" s="1">
        <v>627.43</v>
      </c>
      <c r="D11" s="1">
        <v>684.0</v>
      </c>
      <c r="E11" s="1">
        <v>740.57</v>
      </c>
      <c r="F11" s="1">
        <v>797.14</v>
      </c>
      <c r="G11" s="1">
        <v>851.14</v>
      </c>
      <c r="H11" s="1">
        <v>907.71</v>
      </c>
      <c r="I11" s="1">
        <v>964.29</v>
      </c>
      <c r="J11" s="1">
        <v>1018.29</v>
      </c>
      <c r="K11" s="1">
        <v>1074.86</v>
      </c>
      <c r="L11" s="1">
        <v>1131.43</v>
      </c>
      <c r="M11" s="1">
        <v>1185.43</v>
      </c>
      <c r="N11" s="1">
        <v>1242.0</v>
      </c>
      <c r="O11" s="1">
        <v>1298.57</v>
      </c>
      <c r="P11" s="1">
        <v>1355.14</v>
      </c>
      <c r="Q11" s="1">
        <v>1409.14</v>
      </c>
      <c r="R11" s="1">
        <v>1465.71</v>
      </c>
      <c r="S11" s="1">
        <v>1522.29</v>
      </c>
      <c r="T11" s="1">
        <v>1576.29</v>
      </c>
      <c r="U11" s="1">
        <v>1632.86</v>
      </c>
      <c r="V11" s="1">
        <v>1689.43</v>
      </c>
      <c r="W11" s="1">
        <v>1743.43</v>
      </c>
      <c r="X11" s="1">
        <v>1800.0</v>
      </c>
      <c r="Y11" s="1">
        <v>1856.57</v>
      </c>
      <c r="Z11" s="1">
        <v>1913.14</v>
      </c>
      <c r="AA11" s="1">
        <v>1967.14</v>
      </c>
      <c r="AB11" s="1">
        <v>2023.71</v>
      </c>
    </row>
    <row r="12" ht="15.75" customHeight="1">
      <c r="A12" s="1">
        <v>1500.0</v>
      </c>
      <c r="B12" s="1">
        <v>604.29</v>
      </c>
      <c r="C12" s="1">
        <v>663.43</v>
      </c>
      <c r="D12" s="1">
        <v>722.57</v>
      </c>
      <c r="E12" s="1">
        <v>781.71</v>
      </c>
      <c r="F12" s="1">
        <v>840.86</v>
      </c>
      <c r="G12" s="1">
        <v>897.43</v>
      </c>
      <c r="H12" s="1">
        <v>956.57</v>
      </c>
      <c r="I12" s="1">
        <v>1015.71</v>
      </c>
      <c r="J12" s="1">
        <v>1074.86</v>
      </c>
      <c r="K12" s="1">
        <v>1134.0</v>
      </c>
      <c r="L12" s="1">
        <v>1193.14</v>
      </c>
      <c r="M12" s="1">
        <v>1252.29</v>
      </c>
      <c r="N12" s="1">
        <v>1311.43</v>
      </c>
      <c r="O12" s="1">
        <v>1370.57</v>
      </c>
      <c r="P12" s="1">
        <v>1429.71</v>
      </c>
      <c r="Q12" s="1">
        <v>1486.29</v>
      </c>
      <c r="R12" s="1">
        <v>1545.43</v>
      </c>
      <c r="S12" s="1">
        <v>1604.57</v>
      </c>
      <c r="T12" s="1">
        <v>1663.71</v>
      </c>
      <c r="U12" s="1">
        <v>1722.86</v>
      </c>
      <c r="V12" s="1">
        <v>1782.0</v>
      </c>
      <c r="W12" s="1">
        <v>1841.14</v>
      </c>
      <c r="X12" s="1">
        <v>1900.29</v>
      </c>
      <c r="Y12" s="1">
        <v>1959.43</v>
      </c>
      <c r="Z12" s="1">
        <v>2018.57</v>
      </c>
      <c r="AA12" s="1">
        <v>2075.14</v>
      </c>
      <c r="AB12" s="1">
        <v>2134.29</v>
      </c>
    </row>
    <row r="13" ht="15.75" customHeight="1">
      <c r="A13" s="1">
        <v>1600.0</v>
      </c>
      <c r="B13" s="1">
        <v>635.14</v>
      </c>
      <c r="C13" s="1">
        <v>696.86</v>
      </c>
      <c r="D13" s="1">
        <v>758.57</v>
      </c>
      <c r="E13" s="1">
        <v>820.29</v>
      </c>
      <c r="F13" s="1">
        <v>882.0</v>
      </c>
      <c r="G13" s="1">
        <v>943.71</v>
      </c>
      <c r="H13" s="1">
        <v>1005.43</v>
      </c>
      <c r="I13" s="1">
        <v>1069.71</v>
      </c>
      <c r="J13" s="1">
        <v>1131.43</v>
      </c>
      <c r="K13" s="1">
        <v>1131.43</v>
      </c>
      <c r="L13" s="1">
        <v>1254.86</v>
      </c>
      <c r="M13" s="1">
        <v>1316.57</v>
      </c>
      <c r="N13" s="1">
        <v>1378.29</v>
      </c>
      <c r="O13" s="1">
        <v>1440.0</v>
      </c>
      <c r="P13" s="1">
        <v>1501.71</v>
      </c>
      <c r="Q13" s="1">
        <v>1563.43</v>
      </c>
      <c r="R13" s="1">
        <v>1625.14</v>
      </c>
      <c r="S13" s="1">
        <v>1689.43</v>
      </c>
      <c r="T13" s="1">
        <v>1782.0</v>
      </c>
      <c r="U13" s="1">
        <v>1812.86</v>
      </c>
      <c r="V13" s="1">
        <v>1874.57</v>
      </c>
      <c r="W13" s="1">
        <v>1936.29</v>
      </c>
      <c r="X13" s="1">
        <v>1998.0</v>
      </c>
      <c r="Y13" s="1">
        <v>2059.71</v>
      </c>
      <c r="Z13" s="1">
        <v>2121.43</v>
      </c>
      <c r="AA13" s="1">
        <v>2183.14</v>
      </c>
      <c r="AB13" s="1">
        <v>2244.86</v>
      </c>
    </row>
    <row r="14" ht="15.75" customHeight="1">
      <c r="A14" s="1">
        <v>1700.0</v>
      </c>
      <c r="B14" s="1">
        <v>666.0</v>
      </c>
      <c r="C14" s="1">
        <v>730.29</v>
      </c>
      <c r="D14" s="1">
        <v>794.57</v>
      </c>
      <c r="E14" s="1">
        <v>861.43</v>
      </c>
      <c r="F14" s="1">
        <v>925.71</v>
      </c>
      <c r="G14" s="1">
        <v>990.0</v>
      </c>
      <c r="H14" s="1">
        <v>1054.29</v>
      </c>
      <c r="I14" s="1">
        <v>1121.14</v>
      </c>
      <c r="J14" s="1">
        <v>1185.43</v>
      </c>
      <c r="K14" s="1">
        <v>1185.43</v>
      </c>
      <c r="L14" s="1">
        <v>1316.57</v>
      </c>
      <c r="M14" s="1">
        <v>1380.86</v>
      </c>
      <c r="N14" s="1">
        <v>1445.14</v>
      </c>
      <c r="O14" s="1">
        <v>1512.0</v>
      </c>
      <c r="P14" s="1">
        <v>1576.29</v>
      </c>
      <c r="Q14" s="1">
        <v>1640.57</v>
      </c>
      <c r="R14" s="1">
        <v>1704.86</v>
      </c>
      <c r="S14" s="1">
        <v>1771.71</v>
      </c>
      <c r="T14" s="1">
        <v>1836.0</v>
      </c>
      <c r="U14" s="1">
        <v>1902.86</v>
      </c>
      <c r="V14" s="1">
        <v>1967.14</v>
      </c>
      <c r="W14" s="1">
        <v>2031.43</v>
      </c>
      <c r="X14" s="1">
        <v>2098.29</v>
      </c>
      <c r="Y14" s="1">
        <v>2162.57</v>
      </c>
      <c r="Z14" s="1">
        <v>2226.86</v>
      </c>
      <c r="AA14" s="1">
        <v>2291.14</v>
      </c>
      <c r="AB14" s="1">
        <v>2355.43</v>
      </c>
    </row>
    <row r="15" ht="15.75" customHeight="1">
      <c r="A15" s="1">
        <v>1800.0</v>
      </c>
      <c r="B15" s="1">
        <v>696.86</v>
      </c>
      <c r="C15" s="1">
        <v>763.71</v>
      </c>
      <c r="D15" s="1">
        <v>833.14</v>
      </c>
      <c r="E15" s="1">
        <v>902.57</v>
      </c>
      <c r="F15" s="1">
        <v>969.43</v>
      </c>
      <c r="G15" s="1">
        <v>1038.86</v>
      </c>
      <c r="H15" s="1">
        <v>1105.71</v>
      </c>
      <c r="I15" s="1">
        <v>1175.14</v>
      </c>
      <c r="J15" s="1">
        <v>1242.0</v>
      </c>
      <c r="K15" s="1">
        <v>1242.0</v>
      </c>
      <c r="L15" s="1">
        <v>1378.29</v>
      </c>
      <c r="M15" s="1">
        <v>1445.14</v>
      </c>
      <c r="N15" s="1">
        <v>1514.57</v>
      </c>
      <c r="O15" s="1">
        <v>1584.0</v>
      </c>
      <c r="P15" s="1">
        <v>1650.86</v>
      </c>
      <c r="Q15" s="1">
        <v>1720.29</v>
      </c>
      <c r="R15" s="1">
        <v>1787.14</v>
      </c>
      <c r="S15" s="1">
        <v>1856.57</v>
      </c>
      <c r="T15" s="1">
        <v>1923.43</v>
      </c>
      <c r="U15" s="1">
        <v>1992.86</v>
      </c>
      <c r="V15" s="1">
        <v>2059.71</v>
      </c>
      <c r="W15" s="1">
        <v>2129.14</v>
      </c>
      <c r="X15" s="1">
        <v>1938.86</v>
      </c>
      <c r="Y15" s="1">
        <v>2265.43</v>
      </c>
      <c r="Z15" s="1">
        <v>2332.29</v>
      </c>
      <c r="AA15" s="1">
        <v>2401.71</v>
      </c>
      <c r="AB15" s="1">
        <v>2468.57</v>
      </c>
    </row>
    <row r="16" ht="15.75" customHeight="1">
      <c r="A16" s="1">
        <v>1900.0</v>
      </c>
      <c r="B16" s="1">
        <v>727.71</v>
      </c>
      <c r="C16" s="1">
        <v>799.71</v>
      </c>
      <c r="D16" s="1">
        <v>871.71</v>
      </c>
      <c r="E16" s="1">
        <v>941.14</v>
      </c>
      <c r="F16" s="1">
        <v>1013.14</v>
      </c>
      <c r="G16" s="1">
        <v>1085.14</v>
      </c>
      <c r="H16" s="1">
        <v>1154.57</v>
      </c>
      <c r="I16" s="1">
        <v>1226.57</v>
      </c>
      <c r="J16" s="1">
        <v>1298.57</v>
      </c>
      <c r="K16" s="1">
        <v>1298.57</v>
      </c>
      <c r="L16" s="1">
        <v>1440.0</v>
      </c>
      <c r="M16" s="1">
        <v>1512.0</v>
      </c>
      <c r="N16" s="1">
        <v>1584.0</v>
      </c>
      <c r="O16" s="1">
        <v>1653.43</v>
      </c>
      <c r="P16" s="1">
        <v>1725.43</v>
      </c>
      <c r="Q16" s="1">
        <v>1797.43</v>
      </c>
      <c r="R16" s="1">
        <v>1866.86</v>
      </c>
      <c r="S16" s="1">
        <v>1938.86</v>
      </c>
      <c r="T16" s="1">
        <v>2010.86</v>
      </c>
      <c r="U16" s="1">
        <v>2082.86</v>
      </c>
      <c r="V16" s="1">
        <v>2152.29</v>
      </c>
      <c r="W16" s="1">
        <v>2224.29</v>
      </c>
      <c r="X16" s="1">
        <v>2296.29</v>
      </c>
      <c r="Y16" s="1">
        <v>2365.71</v>
      </c>
      <c r="Z16" s="1">
        <v>2437.71</v>
      </c>
      <c r="AA16" s="1">
        <v>2509.71</v>
      </c>
      <c r="AB16" s="1">
        <v>2579.14</v>
      </c>
    </row>
    <row r="17" ht="15.75" customHeight="1">
      <c r="A17" s="1">
        <v>2000.0</v>
      </c>
      <c r="B17" s="1">
        <v>758.57</v>
      </c>
      <c r="C17" s="1">
        <v>833.14</v>
      </c>
      <c r="D17" s="1">
        <v>907.71</v>
      </c>
      <c r="E17" s="1">
        <v>982.29</v>
      </c>
      <c r="F17" s="1">
        <v>1056.86</v>
      </c>
      <c r="G17" s="1">
        <v>1131.43</v>
      </c>
      <c r="H17" s="1">
        <v>1206.0</v>
      </c>
      <c r="I17" s="1">
        <v>1280.57</v>
      </c>
      <c r="J17" s="1">
        <v>1355.14</v>
      </c>
      <c r="K17" s="1">
        <v>1355.14</v>
      </c>
      <c r="L17" s="1">
        <v>1501.71</v>
      </c>
      <c r="M17" s="1">
        <v>1576.29</v>
      </c>
      <c r="N17" s="1">
        <v>1650.86</v>
      </c>
      <c r="O17" s="1">
        <v>1725.43</v>
      </c>
      <c r="P17" s="1">
        <v>1800.0</v>
      </c>
      <c r="Q17" s="1">
        <v>1874.57</v>
      </c>
      <c r="R17" s="1">
        <v>1949.14</v>
      </c>
      <c r="S17" s="1">
        <v>2023.71</v>
      </c>
      <c r="T17" s="1">
        <v>2098.29</v>
      </c>
      <c r="U17" s="1">
        <v>2172.86</v>
      </c>
      <c r="V17" s="1">
        <v>2244.86</v>
      </c>
      <c r="W17" s="1">
        <v>2319.43</v>
      </c>
      <c r="X17" s="1">
        <v>2394.0</v>
      </c>
      <c r="Y17" s="1">
        <v>2468.57</v>
      </c>
      <c r="Z17" s="1">
        <v>2543.14</v>
      </c>
      <c r="AA17" s="1">
        <v>2617.71</v>
      </c>
      <c r="AB17" s="1">
        <v>2692.29</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8" width="12.57"/>
  </cols>
  <sheetData>
    <row r="1" ht="15.75" customHeight="1">
      <c r="A1" s="1" t="s">
        <v>15</v>
      </c>
      <c r="B1" s="1" t="s">
        <v>745</v>
      </c>
      <c r="C1" s="1" t="s">
        <v>754</v>
      </c>
      <c r="D1" s="1"/>
      <c r="E1" s="1"/>
      <c r="F1" s="1"/>
      <c r="G1" s="1"/>
      <c r="H1" s="1"/>
      <c r="I1" s="1"/>
      <c r="J1" s="1"/>
      <c r="K1" s="1"/>
      <c r="L1" s="1"/>
      <c r="M1" s="1"/>
      <c r="N1" s="1"/>
      <c r="O1" s="1"/>
      <c r="P1" s="1"/>
      <c r="Q1" s="1"/>
      <c r="R1" s="1"/>
      <c r="S1" s="1"/>
      <c r="T1" s="1"/>
      <c r="U1" s="1"/>
      <c r="V1" s="1"/>
      <c r="W1" s="1"/>
      <c r="X1" s="1"/>
      <c r="Y1" s="1"/>
      <c r="Z1" s="1"/>
      <c r="AA1" s="1"/>
      <c r="AB1" s="1"/>
    </row>
    <row r="2" ht="15.75" customHeight="1">
      <c r="B2" s="1">
        <v>800.0</v>
      </c>
      <c r="C2" s="1">
        <v>900.0</v>
      </c>
      <c r="D2" s="1">
        <v>1000.0</v>
      </c>
      <c r="E2" s="1">
        <v>1100.0</v>
      </c>
      <c r="F2" s="1">
        <v>1200.0</v>
      </c>
      <c r="G2" s="1">
        <v>1300.0</v>
      </c>
      <c r="H2" s="1">
        <v>1400.0</v>
      </c>
      <c r="I2" s="1">
        <v>1500.0</v>
      </c>
      <c r="J2" s="1">
        <v>1600.0</v>
      </c>
      <c r="K2" s="1">
        <v>1700.0</v>
      </c>
      <c r="L2" s="1">
        <v>1800.0</v>
      </c>
      <c r="M2" s="1">
        <v>1900.0</v>
      </c>
      <c r="N2" s="1">
        <v>2000.0</v>
      </c>
      <c r="O2" s="1">
        <v>2100.0</v>
      </c>
      <c r="P2" s="1">
        <v>2200.0</v>
      </c>
      <c r="Q2" s="1">
        <v>2300.0</v>
      </c>
      <c r="R2" s="1">
        <v>2400.0</v>
      </c>
      <c r="S2" s="1">
        <v>2500.0</v>
      </c>
      <c r="T2" s="1">
        <v>2600.0</v>
      </c>
      <c r="U2" s="1">
        <v>2700.0</v>
      </c>
      <c r="V2" s="1">
        <v>2800.0</v>
      </c>
      <c r="W2" s="1">
        <v>2900.0</v>
      </c>
      <c r="X2" s="1">
        <v>3000.0</v>
      </c>
    </row>
    <row r="3" ht="15.75" customHeight="1">
      <c r="A3" s="1">
        <v>600.0</v>
      </c>
      <c r="B3" s="1">
        <v>522.81</v>
      </c>
      <c r="C3" s="1">
        <v>539.02</v>
      </c>
      <c r="D3" s="1">
        <v>555.57</v>
      </c>
      <c r="E3" s="1">
        <v>571.78</v>
      </c>
      <c r="F3" s="1">
        <v>587.99</v>
      </c>
      <c r="G3" s="1">
        <v>604.53</v>
      </c>
      <c r="H3" s="1">
        <v>620.74</v>
      </c>
      <c r="I3" s="1">
        <v>636.95</v>
      </c>
      <c r="J3" s="1">
        <v>653.49</v>
      </c>
      <c r="K3" s="1">
        <v>669.7</v>
      </c>
      <c r="L3" s="1">
        <v>685.24</v>
      </c>
      <c r="M3" s="1">
        <v>702.46</v>
      </c>
      <c r="N3" s="1">
        <v>718.67</v>
      </c>
      <c r="O3" s="1">
        <v>734.87</v>
      </c>
      <c r="P3" s="1">
        <v>751.42</v>
      </c>
      <c r="Q3" s="1">
        <v>767.61</v>
      </c>
      <c r="R3" s="1">
        <v>783.82</v>
      </c>
      <c r="S3" s="1">
        <v>800.37</v>
      </c>
      <c r="T3" s="1">
        <v>816.58</v>
      </c>
      <c r="U3" s="1">
        <v>832.79</v>
      </c>
      <c r="V3" s="1">
        <v>849.33</v>
      </c>
      <c r="W3" s="1">
        <v>865.54</v>
      </c>
      <c r="X3" s="1">
        <v>881.75</v>
      </c>
    </row>
    <row r="4" ht="15.75" customHeight="1">
      <c r="A4" s="1">
        <v>700.0</v>
      </c>
      <c r="B4" s="1">
        <v>544.27</v>
      </c>
      <c r="C4" s="1">
        <v>561.36</v>
      </c>
      <c r="D4" s="1">
        <v>579.68</v>
      </c>
      <c r="E4" s="1">
        <v>596.77</v>
      </c>
      <c r="F4" s="1">
        <v>613.86</v>
      </c>
      <c r="G4" s="1">
        <v>631.29</v>
      </c>
      <c r="H4" s="1">
        <v>648.39</v>
      </c>
      <c r="I4" s="1">
        <v>665.48</v>
      </c>
      <c r="J4" s="1">
        <v>682.91</v>
      </c>
      <c r="K4" s="1">
        <v>700.0</v>
      </c>
      <c r="L4" s="1">
        <v>717.1</v>
      </c>
      <c r="M4" s="1">
        <v>734.53</v>
      </c>
      <c r="N4" s="1">
        <v>751.62</v>
      </c>
      <c r="O4" s="1">
        <v>768.7</v>
      </c>
      <c r="P4" s="1">
        <v>786.13</v>
      </c>
      <c r="Q4" s="1">
        <v>803.22</v>
      </c>
      <c r="R4" s="1">
        <v>821.2</v>
      </c>
      <c r="S4" s="1">
        <v>838.63</v>
      </c>
      <c r="T4" s="1">
        <v>855.72</v>
      </c>
      <c r="U4" s="1">
        <v>872.82</v>
      </c>
      <c r="V4" s="1">
        <v>890.25</v>
      </c>
      <c r="W4" s="1">
        <v>907.34</v>
      </c>
      <c r="X4" s="1">
        <v>924.43</v>
      </c>
    </row>
    <row r="5" ht="15.75" customHeight="1">
      <c r="A5" s="1">
        <v>800.0</v>
      </c>
      <c r="B5" s="1">
        <v>512.18</v>
      </c>
      <c r="C5" s="1">
        <v>584.25</v>
      </c>
      <c r="D5" s="1">
        <v>602.57</v>
      </c>
      <c r="E5" s="1">
        <v>620.54</v>
      </c>
      <c r="F5" s="1">
        <v>638.52</v>
      </c>
      <c r="G5" s="1">
        <v>656.84</v>
      </c>
      <c r="H5" s="1">
        <v>674.81</v>
      </c>
      <c r="I5" s="1">
        <v>693.68</v>
      </c>
      <c r="J5" s="1">
        <v>711.99</v>
      </c>
      <c r="K5" s="1">
        <v>729.97</v>
      </c>
      <c r="L5" s="1">
        <v>747.93</v>
      </c>
      <c r="M5" s="1">
        <v>766.25</v>
      </c>
      <c r="N5" s="1">
        <v>784.22</v>
      </c>
      <c r="O5" s="1">
        <v>803.09</v>
      </c>
      <c r="P5" s="1">
        <v>821.4</v>
      </c>
      <c r="Q5" s="1">
        <v>839.38</v>
      </c>
      <c r="R5" s="1">
        <v>857.36</v>
      </c>
      <c r="S5" s="1">
        <v>875.67</v>
      </c>
      <c r="T5" s="1">
        <v>894.53</v>
      </c>
      <c r="U5" s="1">
        <v>912.51</v>
      </c>
      <c r="V5" s="1">
        <v>930.83</v>
      </c>
      <c r="W5" s="1">
        <v>948.8</v>
      </c>
      <c r="X5" s="1">
        <v>966.78</v>
      </c>
    </row>
    <row r="6" ht="15.75" customHeight="1">
      <c r="A6" s="1">
        <v>900.0</v>
      </c>
      <c r="C6" s="1">
        <v>553.05</v>
      </c>
      <c r="D6" s="1">
        <v>625.46</v>
      </c>
      <c r="E6" s="1">
        <v>644.32</v>
      </c>
      <c r="F6" s="1">
        <v>664.07</v>
      </c>
      <c r="G6" s="1">
        <v>683.26</v>
      </c>
      <c r="H6" s="1">
        <v>702.13</v>
      </c>
      <c r="I6" s="1">
        <v>720.99</v>
      </c>
      <c r="J6" s="1">
        <v>741.06</v>
      </c>
      <c r="K6" s="1">
        <v>759.92</v>
      </c>
      <c r="L6" s="1">
        <v>778.78</v>
      </c>
      <c r="M6" s="1">
        <v>797.98</v>
      </c>
      <c r="N6" s="1">
        <v>817.73</v>
      </c>
      <c r="O6" s="1">
        <v>836.59</v>
      </c>
      <c r="P6" s="1">
        <v>855.79</v>
      </c>
      <c r="Q6" s="1">
        <v>875.54</v>
      </c>
      <c r="R6" s="1">
        <v>894.4</v>
      </c>
      <c r="S6" s="1">
        <v>914.99</v>
      </c>
      <c r="T6" s="1">
        <v>932.98</v>
      </c>
      <c r="U6" s="1">
        <v>952.21</v>
      </c>
      <c r="V6" s="1">
        <v>971.4</v>
      </c>
      <c r="W6" s="1">
        <v>990.27</v>
      </c>
      <c r="X6" s="1">
        <v>1010.01</v>
      </c>
    </row>
    <row r="7" ht="15.75" customHeight="1">
      <c r="A7" s="1">
        <v>1000.0</v>
      </c>
      <c r="D7" s="1">
        <v>595.47</v>
      </c>
      <c r="E7" s="1">
        <v>669.31</v>
      </c>
      <c r="F7" s="1">
        <v>689.06</v>
      </c>
      <c r="G7" s="1">
        <v>709.13</v>
      </c>
      <c r="H7" s="1">
        <v>729.76</v>
      </c>
      <c r="I7" s="1">
        <v>749.51</v>
      </c>
      <c r="J7" s="1">
        <v>769.59</v>
      </c>
      <c r="K7" s="1">
        <v>790.22</v>
      </c>
      <c r="L7" s="1">
        <v>809.97</v>
      </c>
      <c r="M7" s="1">
        <v>830.93</v>
      </c>
      <c r="N7" s="1">
        <v>850.68</v>
      </c>
      <c r="O7" s="1">
        <v>870.43</v>
      </c>
      <c r="P7" s="1">
        <v>891.4</v>
      </c>
      <c r="Q7" s="1">
        <v>911.14</v>
      </c>
      <c r="R7" s="1">
        <v>931.77</v>
      </c>
      <c r="S7" s="1">
        <v>951.86</v>
      </c>
      <c r="T7" s="1">
        <v>971.6</v>
      </c>
      <c r="U7" s="1">
        <v>992.24</v>
      </c>
      <c r="V7" s="1">
        <v>1012.32</v>
      </c>
      <c r="W7" s="1">
        <v>1032.07</v>
      </c>
      <c r="X7" s="1">
        <v>1052.7</v>
      </c>
    </row>
    <row r="8" ht="15.75" customHeight="1">
      <c r="A8" s="1">
        <v>1100.0</v>
      </c>
      <c r="E8" s="1">
        <v>639.88</v>
      </c>
      <c r="F8" s="1">
        <v>713.7</v>
      </c>
      <c r="G8" s="1">
        <v>735.55</v>
      </c>
      <c r="H8" s="1">
        <v>756.19</v>
      </c>
      <c r="I8" s="1">
        <v>778.15</v>
      </c>
      <c r="J8" s="1">
        <v>798.67</v>
      </c>
      <c r="K8" s="1">
        <v>820.19</v>
      </c>
      <c r="L8" s="1">
        <v>841.56</v>
      </c>
      <c r="M8" s="1">
        <v>862.67</v>
      </c>
      <c r="N8" s="1">
        <v>883.3</v>
      </c>
      <c r="O8" s="1">
        <v>904.82</v>
      </c>
      <c r="P8" s="1">
        <v>925.78</v>
      </c>
      <c r="Q8" s="1">
        <v>947.3</v>
      </c>
      <c r="R8" s="1">
        <v>967.93</v>
      </c>
      <c r="S8" s="1">
        <v>989.78</v>
      </c>
      <c r="T8" s="1">
        <v>1010.41</v>
      </c>
      <c r="U8" s="1">
        <v>1032.08</v>
      </c>
      <c r="V8" s="1">
        <v>1052.9</v>
      </c>
      <c r="W8" s="1">
        <v>1074.41</v>
      </c>
      <c r="X8" s="1">
        <v>1095.05</v>
      </c>
    </row>
    <row r="9" ht="15.75" customHeight="1">
      <c r="A9" s="1">
        <v>1200.0</v>
      </c>
      <c r="F9" s="1">
        <v>686.05</v>
      </c>
      <c r="G9" s="1">
        <v>761.1</v>
      </c>
      <c r="H9" s="1">
        <v>783.5</v>
      </c>
      <c r="I9" s="1">
        <v>805.9</v>
      </c>
      <c r="J9" s="1">
        <v>827.75</v>
      </c>
      <c r="K9" s="1">
        <v>850.15</v>
      </c>
      <c r="L9" s="1">
        <v>871.67</v>
      </c>
      <c r="M9" s="1">
        <v>894.4</v>
      </c>
      <c r="N9" s="1">
        <v>916.8</v>
      </c>
      <c r="O9" s="1">
        <v>938.32</v>
      </c>
      <c r="P9" s="1">
        <v>961.06</v>
      </c>
      <c r="Q9" s="1">
        <v>982.57</v>
      </c>
      <c r="R9" s="1">
        <v>1004.97</v>
      </c>
      <c r="S9" s="1">
        <v>1026.82</v>
      </c>
      <c r="T9" s="1">
        <v>1049.22</v>
      </c>
      <c r="U9" s="1">
        <v>1071.63</v>
      </c>
      <c r="V9" s="1">
        <v>1093.48</v>
      </c>
      <c r="W9" s="1">
        <v>1115.86</v>
      </c>
      <c r="X9" s="1">
        <v>1137.38</v>
      </c>
    </row>
    <row r="10" ht="15.75" customHeight="1">
      <c r="A10" s="1">
        <v>1300.0</v>
      </c>
      <c r="G10" s="1">
        <v>734.67</v>
      </c>
      <c r="H10" s="1">
        <v>811.15</v>
      </c>
      <c r="I10" s="1">
        <v>833.55</v>
      </c>
      <c r="J10" s="1">
        <v>857.17</v>
      </c>
      <c r="K10" s="1">
        <v>880.45</v>
      </c>
      <c r="L10" s="1">
        <v>902.85</v>
      </c>
      <c r="M10" s="1">
        <v>926.47</v>
      </c>
      <c r="N10" s="1">
        <v>949.76</v>
      </c>
      <c r="O10" s="1">
        <v>972.16</v>
      </c>
      <c r="P10" s="1">
        <v>995.78</v>
      </c>
      <c r="Q10" s="1">
        <v>1019.06</v>
      </c>
      <c r="R10" s="1">
        <v>1042.35</v>
      </c>
      <c r="S10" s="1">
        <v>1065.08</v>
      </c>
      <c r="T10" s="1">
        <v>1088.36</v>
      </c>
      <c r="U10" s="1">
        <v>1111.64</v>
      </c>
      <c r="V10" s="1">
        <v>1134.38</v>
      </c>
      <c r="W10" s="1">
        <v>1157.66</v>
      </c>
      <c r="X10" s="1">
        <v>1180.95</v>
      </c>
    </row>
    <row r="11" ht="15.75" customHeight="1">
      <c r="A11" s="1">
        <v>1400.0</v>
      </c>
      <c r="H11" s="1">
        <v>784.36</v>
      </c>
      <c r="I11" s="1">
        <v>861.74</v>
      </c>
      <c r="J11" s="1">
        <v>886.25</v>
      </c>
      <c r="K11" s="1">
        <v>910.42</v>
      </c>
      <c r="L11" s="1">
        <v>933.7</v>
      </c>
      <c r="M11" s="1">
        <v>958.21</v>
      </c>
      <c r="N11" s="1">
        <v>982.38</v>
      </c>
      <c r="O11" s="1">
        <v>1006.55</v>
      </c>
      <c r="P11" s="1">
        <v>1031.05</v>
      </c>
      <c r="Q11" s="1">
        <v>1054.34</v>
      </c>
      <c r="R11" s="1">
        <v>1078.49</v>
      </c>
      <c r="S11" s="1">
        <v>1103.0</v>
      </c>
      <c r="T11" s="1">
        <v>1127.17</v>
      </c>
      <c r="U11" s="1">
        <v>1151.34</v>
      </c>
      <c r="V11" s="1">
        <v>1174.96</v>
      </c>
      <c r="W11" s="1">
        <v>1199.13</v>
      </c>
      <c r="X11" s="1">
        <v>1223.3</v>
      </c>
    </row>
    <row r="12" ht="15.75" customHeight="1">
      <c r="A12" s="1">
        <v>1500.0</v>
      </c>
      <c r="I12" s="1">
        <v>836.73</v>
      </c>
      <c r="J12" s="1">
        <v>915.33</v>
      </c>
      <c r="K12" s="1">
        <v>956.3</v>
      </c>
      <c r="L12" s="1">
        <v>964.55</v>
      </c>
      <c r="M12" s="1">
        <v>957.44</v>
      </c>
      <c r="N12" s="1">
        <v>1015.0</v>
      </c>
      <c r="O12" s="1">
        <v>1040.04</v>
      </c>
      <c r="P12" s="1">
        <v>1065.42</v>
      </c>
      <c r="Q12" s="1">
        <v>1090.48</v>
      </c>
      <c r="R12" s="1">
        <v>1115.53</v>
      </c>
      <c r="S12" s="1">
        <v>1140.92</v>
      </c>
      <c r="T12" s="1">
        <v>1165.98</v>
      </c>
      <c r="U12" s="1">
        <v>1191.03</v>
      </c>
      <c r="V12" s="1">
        <v>1216.08</v>
      </c>
      <c r="W12" s="1">
        <v>1240.59</v>
      </c>
      <c r="X12" s="1">
        <v>1265.64</v>
      </c>
    </row>
    <row r="13" ht="15.75" customHeight="1">
      <c r="A13" s="1">
        <v>1600.0</v>
      </c>
      <c r="J13" s="1">
        <v>891.54</v>
      </c>
      <c r="K13" s="1">
        <v>970.68</v>
      </c>
      <c r="L13" s="1">
        <v>996.62</v>
      </c>
      <c r="M13" s="1">
        <v>1022.88</v>
      </c>
      <c r="N13" s="1">
        <v>1048.82</v>
      </c>
      <c r="O13" s="1">
        <v>1074.76</v>
      </c>
      <c r="P13" s="1">
        <v>1101.03</v>
      </c>
      <c r="Q13" s="1">
        <v>1126.97</v>
      </c>
      <c r="R13" s="1">
        <v>1152.91</v>
      </c>
      <c r="S13" s="1">
        <v>1179.18</v>
      </c>
      <c r="T13" s="1">
        <v>1205.12</v>
      </c>
      <c r="U13" s="1">
        <v>1231.31</v>
      </c>
      <c r="V13" s="1">
        <v>1257.33</v>
      </c>
      <c r="W13" s="1">
        <v>1283.27</v>
      </c>
      <c r="X13" s="1">
        <v>1309.21</v>
      </c>
    </row>
    <row r="14" ht="15.75" customHeight="1">
      <c r="A14" s="1">
        <v>1700.0</v>
      </c>
      <c r="K14" s="1">
        <v>947.44</v>
      </c>
      <c r="L14" s="1">
        <v>1027.46</v>
      </c>
      <c r="M14" s="1">
        <v>1054.62</v>
      </c>
      <c r="N14" s="1">
        <v>1081.44</v>
      </c>
      <c r="O14" s="1">
        <v>1108.26</v>
      </c>
      <c r="P14" s="1">
        <v>1135.42</v>
      </c>
      <c r="Q14" s="1">
        <v>1162.24</v>
      </c>
      <c r="R14" s="1">
        <v>1189.07</v>
      </c>
      <c r="S14" s="1">
        <v>1216.22</v>
      </c>
      <c r="T14" s="1">
        <v>1243.05</v>
      </c>
      <c r="U14" s="1">
        <v>1270.76</v>
      </c>
      <c r="V14" s="1">
        <v>1297.91</v>
      </c>
      <c r="W14" s="1">
        <v>1324.74</v>
      </c>
      <c r="X14" s="1">
        <v>1351.56</v>
      </c>
    </row>
    <row r="15" ht="15.75" customHeight="1">
      <c r="A15" s="1">
        <v>1800.0</v>
      </c>
      <c r="L15" s="1">
        <v>1005.11</v>
      </c>
      <c r="M15" s="1">
        <v>1086.35</v>
      </c>
      <c r="N15" s="1">
        <v>1114.06</v>
      </c>
      <c r="O15" s="1">
        <v>1141.76</v>
      </c>
      <c r="P15" s="1">
        <v>1169.81</v>
      </c>
      <c r="Q15" s="1">
        <v>1198.4</v>
      </c>
      <c r="R15" s="1">
        <v>1226.11</v>
      </c>
      <c r="S15" s="1">
        <v>1254.15</v>
      </c>
      <c r="T15" s="1">
        <v>1281.86</v>
      </c>
      <c r="U15" s="1">
        <v>1310.45</v>
      </c>
      <c r="V15" s="1">
        <v>1338.49</v>
      </c>
      <c r="W15" s="1">
        <v>1366.2</v>
      </c>
      <c r="X15" s="1">
        <v>1393.91</v>
      </c>
    </row>
    <row r="16" ht="15.75" customHeight="1">
      <c r="A16" s="1">
        <v>1900.0</v>
      </c>
      <c r="M16" s="1">
        <v>1065.22</v>
      </c>
      <c r="N16" s="1">
        <v>1147.01</v>
      </c>
      <c r="O16" s="1">
        <v>1176.49</v>
      </c>
      <c r="P16" s="1">
        <v>1205.42</v>
      </c>
      <c r="Q16" s="1">
        <v>1234.01</v>
      </c>
      <c r="R16" s="1">
        <v>1263.48</v>
      </c>
      <c r="S16" s="1">
        <v>1292.41</v>
      </c>
      <c r="T16" s="1">
        <v>1321.0</v>
      </c>
      <c r="U16" s="1">
        <v>1350.48</v>
      </c>
      <c r="V16" s="1">
        <v>1379.41</v>
      </c>
      <c r="W16" s="1">
        <v>1408.0</v>
      </c>
      <c r="X16" s="1">
        <v>1436.59</v>
      </c>
    </row>
    <row r="17" ht="15.75" customHeight="1">
      <c r="A17" s="1">
        <v>2000.0</v>
      </c>
      <c r="N17" s="1">
        <v>1127.31</v>
      </c>
      <c r="O17" s="1">
        <v>1209.99</v>
      </c>
      <c r="P17" s="1">
        <v>1239.8</v>
      </c>
      <c r="Q17" s="1">
        <v>1270.16</v>
      </c>
      <c r="R17" s="1">
        <v>1299.64</v>
      </c>
      <c r="S17" s="1">
        <v>1330.34</v>
      </c>
      <c r="T17" s="1">
        <v>1359.81</v>
      </c>
      <c r="U17" s="1">
        <v>1389.29</v>
      </c>
      <c r="V17" s="1">
        <v>1419.99</v>
      </c>
      <c r="W17" s="1">
        <v>1449.45</v>
      </c>
      <c r="X17" s="1">
        <v>1479.81</v>
      </c>
    </row>
    <row r="18" ht="15.75" customHeight="1">
      <c r="A18" s="1">
        <v>2100.0</v>
      </c>
      <c r="O18" s="1">
        <v>1190.29</v>
      </c>
      <c r="P18" s="1">
        <v>1275.08</v>
      </c>
      <c r="Q18" s="1">
        <v>1305.44</v>
      </c>
      <c r="R18" s="1">
        <v>1339.47</v>
      </c>
      <c r="S18" s="1">
        <v>1367.38</v>
      </c>
      <c r="T18" s="1">
        <v>1398.62</v>
      </c>
      <c r="U18" s="1">
        <v>1428.97</v>
      </c>
      <c r="V18" s="1">
        <v>1460.55</v>
      </c>
      <c r="W18" s="1">
        <v>1697.93</v>
      </c>
      <c r="X18" s="1">
        <v>1734.99</v>
      </c>
    </row>
    <row r="19" ht="15.75" customHeight="1">
      <c r="A19" s="1">
        <v>2200.0</v>
      </c>
      <c r="P19" s="1">
        <v>1256.59</v>
      </c>
      <c r="Q19" s="1">
        <v>1341.93</v>
      </c>
      <c r="R19" s="1">
        <v>1374.04</v>
      </c>
      <c r="S19" s="1">
        <v>1405.62</v>
      </c>
      <c r="T19" s="1">
        <v>1437.75</v>
      </c>
      <c r="U19" s="1">
        <v>1469.0</v>
      </c>
      <c r="V19" s="1">
        <v>1501.47</v>
      </c>
      <c r="W19" s="1">
        <v>1748.94</v>
      </c>
      <c r="X19" s="1">
        <v>1787.17</v>
      </c>
    </row>
    <row r="20" ht="15.75" customHeight="1">
      <c r="A20" s="1">
        <v>2300.0</v>
      </c>
      <c r="Q20" s="1">
        <v>1324.88</v>
      </c>
      <c r="R20" s="1">
        <v>1410.2</v>
      </c>
      <c r="S20" s="1">
        <v>1443.55</v>
      </c>
      <c r="T20" s="1">
        <v>1476.56</v>
      </c>
      <c r="U20" s="1">
        <v>1508.69</v>
      </c>
      <c r="V20" s="1">
        <v>1542.04</v>
      </c>
      <c r="W20" s="1">
        <v>1799.62</v>
      </c>
      <c r="X20" s="1">
        <v>1840.18</v>
      </c>
    </row>
    <row r="21" ht="15.75" customHeight="1">
      <c r="A21" s="1">
        <v>2400.0</v>
      </c>
      <c r="R21" s="1">
        <v>1394.05</v>
      </c>
      <c r="S21" s="1">
        <v>1481.48</v>
      </c>
      <c r="T21" s="1">
        <v>1515.38</v>
      </c>
      <c r="U21" s="1">
        <v>1548.39</v>
      </c>
      <c r="V21" s="1">
        <v>1582.62</v>
      </c>
      <c r="W21" s="1">
        <v>1850.31</v>
      </c>
      <c r="X21" s="1">
        <v>1892.03</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5.43"/>
    <col customWidth="1" min="2" max="11" width="12.57"/>
  </cols>
  <sheetData>
    <row r="1" ht="15.75" customHeight="1">
      <c r="A1" s="1" t="s">
        <v>15</v>
      </c>
      <c r="B1" s="1" t="s">
        <v>16</v>
      </c>
      <c r="D1" s="1" t="s">
        <v>755</v>
      </c>
    </row>
    <row r="2" ht="15.75" customHeight="1">
      <c r="A2" s="1" t="s">
        <v>756</v>
      </c>
      <c r="B2" s="1" t="str">
        <f>D2*(1+MARKUP!$Z$8)</f>
        <v>336.3399</v>
      </c>
      <c r="D2" s="1">
        <v>393.38</v>
      </c>
    </row>
    <row r="3" ht="15.75" customHeight="1">
      <c r="A3" s="1" t="s">
        <v>757</v>
      </c>
      <c r="B3" s="1" t="str">
        <f>D3*(1+MARKUP!$Z$8)</f>
        <v>691.524</v>
      </c>
      <c r="D3" s="1">
        <v>808.8</v>
      </c>
    </row>
    <row r="4" ht="15.75" customHeight="1">
      <c r="A4" s="1" t="s">
        <v>758</v>
      </c>
      <c r="B4" s="1" t="str">
        <f>D4*(1+MARKUP!$Z$8)</f>
        <v>134.80785</v>
      </c>
      <c r="D4" s="1">
        <v>157.66999999999996</v>
      </c>
    </row>
    <row r="5" ht="15.75" customHeight="1">
      <c r="A5" s="1" t="s">
        <v>759</v>
      </c>
      <c r="B5" s="1" t="str">
        <f>D5*(1+MARKUP!$Z$8)</f>
        <v>183.1581</v>
      </c>
      <c r="D5" s="1">
        <v>214.22</v>
      </c>
    </row>
    <row r="6" ht="15.75" customHeight="1">
      <c r="A6" s="1" t="s">
        <v>760</v>
      </c>
      <c r="B6" s="1" t="str">
        <f>D6*(1+MARKUP!$Z$8)</f>
        <v>222.8301</v>
      </c>
      <c r="D6" s="1">
        <v>260.62</v>
      </c>
    </row>
    <row r="7" ht="15.75" customHeight="1">
      <c r="A7" s="1" t="s">
        <v>761</v>
      </c>
      <c r="B7" s="1" t="str">
        <f>D7*(1+MARKUP!$Z$8)</f>
        <v>126.3177</v>
      </c>
      <c r="D7" s="1">
        <v>147.7399999999999</v>
      </c>
    </row>
    <row r="8" ht="15.75" customHeight="1">
      <c r="A8" s="1" t="s">
        <v>762</v>
      </c>
      <c r="B8" s="1" t="str">
        <f>D8*(1+MARKUP!$Z$9)</f>
        <v>355.6629</v>
      </c>
      <c r="D8" s="1">
        <v>415.98</v>
      </c>
    </row>
    <row r="9" ht="15.75" customHeight="1">
      <c r="A9" s="1" t="s">
        <v>763</v>
      </c>
      <c r="B9" s="1" t="str">
        <f>D9*(1+MARKUP!$Z$9)</f>
        <v>704.4345</v>
      </c>
      <c r="D9" s="1">
        <v>823.9</v>
      </c>
    </row>
    <row r="10" ht="15.75" customHeight="1">
      <c r="A10" s="1" t="s">
        <v>764</v>
      </c>
      <c r="B10" s="1" t="str">
        <f>D10*(1+MARKUP!$Z$9)</f>
        <v>554.7411</v>
      </c>
      <c r="D10" s="1">
        <v>648.82</v>
      </c>
    </row>
    <row r="11" ht="15.75" customHeight="1">
      <c r="A11" s="1" t="s">
        <v>765</v>
      </c>
      <c r="B11" s="1" t="str">
        <f>D11*(1+MARKUP!$Z$9)</f>
        <v>1023.08445</v>
      </c>
      <c r="D11" s="1">
        <v>1196.59</v>
      </c>
    </row>
    <row r="12" ht="15.75" customHeight="1">
      <c r="A12" s="1" t="s">
        <v>766</v>
      </c>
      <c r="B12" s="1">
        <v>50.0</v>
      </c>
    </row>
    <row r="13" ht="15.75" customHeight="1">
      <c r="A13" s="1" t="s">
        <v>767</v>
      </c>
      <c r="B13" s="1">
        <v>60.0</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6.43"/>
    <col customWidth="1" min="2" max="11" width="12.57"/>
  </cols>
  <sheetData>
    <row r="1" ht="15.75" customHeight="1">
      <c r="A1" s="1" t="s">
        <v>15</v>
      </c>
      <c r="B1" s="1" t="s">
        <v>768</v>
      </c>
    </row>
    <row r="2" ht="15.75" customHeight="1">
      <c r="A2" s="1" t="s">
        <v>769</v>
      </c>
      <c r="B2" s="1">
        <v>1400.0</v>
      </c>
      <c r="C2" s="1" t="s">
        <v>770</v>
      </c>
    </row>
    <row r="3" ht="15.75" customHeight="1">
      <c r="A3" s="1" t="s">
        <v>771</v>
      </c>
      <c r="B3" s="1">
        <v>1400.0</v>
      </c>
    </row>
    <row r="4" ht="15.75" customHeight="1">
      <c r="A4" s="1" t="s">
        <v>772</v>
      </c>
      <c r="B4" s="1">
        <v>2500.0</v>
      </c>
      <c r="C4" s="1" t="s">
        <v>773</v>
      </c>
    </row>
    <row r="5" ht="15.75" customHeight="1">
      <c r="A5" s="1" t="s">
        <v>774</v>
      </c>
      <c r="B5" s="1">
        <v>2500.0</v>
      </c>
    </row>
    <row r="6" ht="15.75" customHeight="1">
      <c r="A6" s="1" t="s">
        <v>775</v>
      </c>
      <c r="B6" s="1">
        <v>2.5</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1.71"/>
    <col customWidth="1" min="2" max="2" width="45.86"/>
    <col customWidth="1" min="3" max="3" width="12.57"/>
    <col customWidth="1" min="4" max="4" width="30.0"/>
    <col customWidth="1" min="5" max="11" width="12.57"/>
  </cols>
  <sheetData>
    <row r="1" ht="15.75" customHeight="1">
      <c r="A1" s="1" t="s">
        <v>15</v>
      </c>
      <c r="B1" s="1" t="s">
        <v>776</v>
      </c>
    </row>
    <row r="2" ht="15.75" customHeight="1">
      <c r="A2" s="1" t="s">
        <v>777</v>
      </c>
      <c r="B2" s="1">
        <v>1.0</v>
      </c>
    </row>
    <row r="3" ht="15.75" customHeight="1">
      <c r="A3" s="1" t="s">
        <v>778</v>
      </c>
      <c r="B3" s="1">
        <v>0.0</v>
      </c>
    </row>
    <row r="4" ht="15.75" customHeight="1">
      <c r="A4" s="1" t="s">
        <v>779</v>
      </c>
      <c r="B4" s="1">
        <v>0.0</v>
      </c>
    </row>
    <row r="5" ht="15.75" customHeight="1">
      <c r="A5" s="1" t="s">
        <v>780</v>
      </c>
      <c r="B5" s="1">
        <v>1.0</v>
      </c>
    </row>
    <row r="6" ht="15.75" customHeight="1">
      <c r="A6" s="1" t="s">
        <v>781</v>
      </c>
      <c r="B6" s="1">
        <v>1.0</v>
      </c>
    </row>
    <row r="7" ht="15.75" customHeight="1">
      <c r="A7" s="1" t="s">
        <v>782</v>
      </c>
      <c r="B7" s="1">
        <v>0.0</v>
      </c>
    </row>
    <row r="8" ht="15.75" customHeight="1">
      <c r="A8" s="1" t="s">
        <v>783</v>
      </c>
      <c r="B8" s="1">
        <v>0.0</v>
      </c>
    </row>
    <row r="9" ht="15.75" customHeight="1">
      <c r="A9" s="1" t="s">
        <v>784</v>
      </c>
      <c r="B9" s="1">
        <v>1.0</v>
      </c>
      <c r="C9" s="1" t="s">
        <v>785</v>
      </c>
    </row>
    <row r="10" ht="15.75" customHeight="1">
      <c r="A10" s="1" t="s">
        <v>786</v>
      </c>
      <c r="B10" s="1" t="s">
        <v>787</v>
      </c>
    </row>
    <row r="11" ht="15.75" customHeight="1">
      <c r="A11" s="1" t="s">
        <v>788</v>
      </c>
      <c r="B11" s="1">
        <v>0.0</v>
      </c>
    </row>
    <row r="12" ht="15.75" customHeight="1">
      <c r="A12" s="1" t="s">
        <v>789</v>
      </c>
      <c r="B12" s="1">
        <v>0.0</v>
      </c>
    </row>
    <row r="13" ht="15.75" customHeight="1">
      <c r="A13" s="1" t="s">
        <v>790</v>
      </c>
      <c r="B13" s="1">
        <v>0.0</v>
      </c>
    </row>
    <row r="14" ht="15.75" customHeight="1">
      <c r="A14" s="1" t="s">
        <v>791</v>
      </c>
      <c r="B14" s="1"/>
      <c r="C14" s="1" t="s">
        <v>792</v>
      </c>
    </row>
    <row r="15" ht="15.75" customHeight="1">
      <c r="A15" s="1" t="s">
        <v>793</v>
      </c>
      <c r="B15" s="1">
        <v>1.0</v>
      </c>
    </row>
    <row r="16" ht="15.75" customHeight="1">
      <c r="A16" s="1" t="s">
        <v>794</v>
      </c>
      <c r="B16" s="1">
        <v>0.0</v>
      </c>
    </row>
    <row r="17" ht="15.75" customHeight="1">
      <c r="A17" s="1" t="s">
        <v>795</v>
      </c>
      <c r="B17" s="1">
        <v>1.0</v>
      </c>
    </row>
    <row r="18" ht="15.75" customHeight="1">
      <c r="A18" s="1" t="s">
        <v>796</v>
      </c>
      <c r="B18" s="1">
        <v>0.0</v>
      </c>
    </row>
    <row r="19" ht="15.75" customHeight="1">
      <c r="A19" s="1" t="s">
        <v>797</v>
      </c>
      <c r="B19" s="1">
        <v>1.0</v>
      </c>
    </row>
    <row r="20" ht="15.75" customHeight="1">
      <c r="A20" s="1" t="s">
        <v>798</v>
      </c>
      <c r="B20" s="1">
        <v>0.0</v>
      </c>
    </row>
    <row r="21" ht="15.75" customHeight="1">
      <c r="A21" s="1" t="s">
        <v>799</v>
      </c>
      <c r="B21" s="1">
        <v>0.0</v>
      </c>
    </row>
    <row r="22" ht="15.75" customHeight="1">
      <c r="A22" s="1" t="s">
        <v>800</v>
      </c>
      <c r="B22" s="1">
        <v>0.0</v>
      </c>
    </row>
    <row r="23" ht="15.75" customHeight="1">
      <c r="A23" s="1" t="s">
        <v>801</v>
      </c>
      <c r="B23" s="1">
        <v>0.0</v>
      </c>
    </row>
    <row r="24" ht="15.75" customHeight="1">
      <c r="A24" s="1" t="s">
        <v>802</v>
      </c>
      <c r="B24" s="1">
        <v>1.0</v>
      </c>
    </row>
    <row r="25" ht="15.75" customHeight="1">
      <c r="A25" s="1" t="s">
        <v>803</v>
      </c>
      <c r="B25" s="1">
        <v>0.0</v>
      </c>
    </row>
    <row r="26" ht="15.75" customHeight="1">
      <c r="A26" s="1" t="s">
        <v>804</v>
      </c>
      <c r="B26" s="1" t="s">
        <v>746</v>
      </c>
      <c r="C26" s="1" t="s">
        <v>805</v>
      </c>
    </row>
    <row r="27" ht="15.75" customHeight="1">
      <c r="A27" s="1" t="s">
        <v>806</v>
      </c>
      <c r="C27" s="1" t="s">
        <v>805</v>
      </c>
    </row>
    <row r="28" ht="15.75" customHeight="1">
      <c r="A28" s="1" t="s">
        <v>807</v>
      </c>
      <c r="B28" s="1" t="s">
        <v>808</v>
      </c>
      <c r="C28" s="1" t="s">
        <v>809</v>
      </c>
    </row>
    <row r="29" ht="15.75" customHeight="1">
      <c r="A29" s="1" t="s">
        <v>810</v>
      </c>
      <c r="B29" s="1" t="s">
        <v>746</v>
      </c>
      <c r="C29" s="1" t="s">
        <v>811</v>
      </c>
    </row>
    <row r="30" ht="15.75" customHeight="1">
      <c r="A30" s="1" t="s">
        <v>812</v>
      </c>
      <c r="B30" s="1" t="s">
        <v>813</v>
      </c>
      <c r="C30" s="1" t="s">
        <v>814</v>
      </c>
    </row>
    <row r="31" ht="15.75" customHeight="1">
      <c r="A31" s="1" t="s">
        <v>815</v>
      </c>
      <c r="B31" s="1" t="s">
        <v>746</v>
      </c>
      <c r="C31" s="1" t="s">
        <v>814</v>
      </c>
    </row>
    <row r="32" ht="15.75" customHeight="1">
      <c r="A32" s="1" t="s">
        <v>816</v>
      </c>
      <c r="B32" s="1" t="s">
        <v>817</v>
      </c>
      <c r="C32" s="1" t="s">
        <v>818</v>
      </c>
    </row>
    <row r="33" ht="15.75" customHeight="1">
      <c r="A33" s="1" t="s">
        <v>819</v>
      </c>
      <c r="B33" s="1" t="s">
        <v>820</v>
      </c>
      <c r="C33" s="1" t="s">
        <v>821</v>
      </c>
    </row>
    <row r="34" ht="15.75" customHeight="1">
      <c r="A34" s="1" t="s">
        <v>822</v>
      </c>
      <c r="B34" s="1" t="s">
        <v>823</v>
      </c>
      <c r="C34" s="1" t="s">
        <v>824</v>
      </c>
    </row>
    <row r="35" ht="15.75" customHeight="1">
      <c r="A35" s="1" t="s">
        <v>825</v>
      </c>
      <c r="B35" s="1" t="s">
        <v>826</v>
      </c>
      <c r="C35" s="1" t="s">
        <v>824</v>
      </c>
    </row>
    <row r="36" ht="15.75" customHeight="1">
      <c r="A36" s="1" t="s">
        <v>827</v>
      </c>
      <c r="B36" s="1" t="s">
        <v>828</v>
      </c>
      <c r="C36" s="1" t="s">
        <v>824</v>
      </c>
    </row>
    <row r="37" ht="15.75" customHeight="1">
      <c r="A37" s="1" t="s">
        <v>829</v>
      </c>
      <c r="B37" s="1">
        <v>1.0</v>
      </c>
    </row>
    <row r="38" ht="15.75" customHeight="1">
      <c r="A38" s="1" t="s">
        <v>830</v>
      </c>
      <c r="B38" s="1">
        <v>1.0</v>
      </c>
    </row>
    <row r="39" ht="15.75" customHeight="1">
      <c r="A39" s="1" t="s">
        <v>831</v>
      </c>
      <c r="B39" s="1">
        <v>1.0</v>
      </c>
    </row>
    <row r="40" ht="15.75" customHeight="1">
      <c r="A40" s="1" t="s">
        <v>832</v>
      </c>
      <c r="B40" s="1">
        <v>1.0</v>
      </c>
    </row>
    <row r="41" ht="15.75" customHeight="1">
      <c r="A41" s="1" t="s">
        <v>833</v>
      </c>
      <c r="B41" s="1">
        <v>1.0</v>
      </c>
    </row>
    <row r="42" ht="15.75" customHeight="1">
      <c r="A42" s="1" t="s">
        <v>834</v>
      </c>
      <c r="B42" s="1">
        <v>1.0</v>
      </c>
    </row>
    <row r="43" ht="15.75" customHeight="1">
      <c r="A43" s="1" t="s">
        <v>835</v>
      </c>
      <c r="B43" s="1" t="s">
        <v>836</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4.43"/>
    <col customWidth="1" min="2" max="3" width="12.57"/>
    <col customWidth="1" min="4" max="4" width="25.43"/>
    <col customWidth="1" min="5" max="11" width="12.57"/>
  </cols>
  <sheetData>
    <row r="1" ht="15.75" customHeight="1">
      <c r="A1" s="1" t="s">
        <v>15</v>
      </c>
      <c r="B1" s="1" t="s">
        <v>837</v>
      </c>
    </row>
    <row r="2" ht="15.75" customHeight="1">
      <c r="A2" s="1" t="s">
        <v>838</v>
      </c>
      <c r="B2" s="1">
        <v>1.0</v>
      </c>
    </row>
    <row r="3" ht="15.75" customHeight="1">
      <c r="A3" s="1" t="s">
        <v>839</v>
      </c>
      <c r="B3" s="1">
        <v>0.0</v>
      </c>
    </row>
    <row r="4" ht="15.75" customHeight="1">
      <c r="A4" s="1" t="s">
        <v>840</v>
      </c>
      <c r="B4" s="1">
        <v>1.0</v>
      </c>
    </row>
    <row r="5" ht="15.75" customHeight="1">
      <c r="A5" s="1" t="s">
        <v>841</v>
      </c>
      <c r="B5" s="1">
        <v>0.0</v>
      </c>
    </row>
    <row r="6" ht="15.75" customHeight="1">
      <c r="A6" s="1" t="s">
        <v>842</v>
      </c>
      <c r="B6" s="1">
        <v>0.0</v>
      </c>
    </row>
    <row r="7" ht="15.75" customHeight="1">
      <c r="A7" s="1" t="s">
        <v>843</v>
      </c>
      <c r="B7" s="1">
        <v>0.0</v>
      </c>
    </row>
    <row r="8" ht="15.75" customHeight="1">
      <c r="A8" s="1" t="s">
        <v>844</v>
      </c>
      <c r="B8" s="1">
        <v>0.0</v>
      </c>
    </row>
    <row r="9" ht="15.75" customHeight="1">
      <c r="A9" s="1" t="s">
        <v>845</v>
      </c>
      <c r="B9" s="1">
        <v>0.0</v>
      </c>
      <c r="C9" s="1"/>
    </row>
    <row r="10" ht="15.75" customHeight="1">
      <c r="A10" s="1" t="s">
        <v>846</v>
      </c>
      <c r="B10" s="1">
        <v>0.0</v>
      </c>
      <c r="C10" s="1" t="s">
        <v>847</v>
      </c>
    </row>
    <row r="11" ht="15.75" customHeight="1">
      <c r="A11" s="1" t="s">
        <v>848</v>
      </c>
      <c r="B11" s="1">
        <v>0.0</v>
      </c>
      <c r="C11" s="1" t="s">
        <v>849</v>
      </c>
    </row>
    <row r="12" ht="15.75" customHeight="1">
      <c r="A12" s="1" t="s">
        <v>850</v>
      </c>
      <c r="C12" s="1" t="s">
        <v>851</v>
      </c>
    </row>
    <row r="13" ht="15.75" customHeight="1">
      <c r="A13" s="1" t="s">
        <v>852</v>
      </c>
      <c r="B13" s="1" t="s">
        <v>853</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ScaleCrop>false</ScaleCrop>
  <HeadingPairs>
    <vt:vector baseType="variant" size="2">
      <vt:variant>
        <vt:lpstr>Worksheets</vt:lpstr>
      </vt:variant>
      <vt:variant>
        <vt:i4>27</vt:i4>
      </vt:variant>
    </vt:vector>
  </HeadingPairs>
  <TitlesOfParts>
    <vt:vector baseType="lpstr" size="27">
      <vt:lpstr>MARKUP</vt:lpstr>
      <vt:lpstr>bifold</vt:lpstr>
      <vt:lpstr>patio</vt:lpstr>
      <vt:lpstr>cortizo_patio</vt:lpstr>
      <vt:lpstr>window</vt:lpstr>
      <vt:lpstr>glass</vt:lpstr>
      <vt:lpstr>upvc_window</vt:lpstr>
      <vt:lpstr>values</vt:lpstr>
      <vt:lpstr>composite</vt:lpstr>
      <vt:lpstr>price_files</vt:lpstr>
      <vt:lpstr>(price file overrides)</vt:lpstr>
      <vt:lpstr>(patio_costs)</vt:lpstr>
      <vt:lpstr>patio_2</vt:lpstr>
      <vt:lpstr>patio_3</vt:lpstr>
      <vt:lpstr>patio_4</vt:lpstr>
      <vt:lpstr>Ultra_patio_2</vt:lpstr>
      <vt:lpstr>Ultra_patio_3</vt:lpstr>
      <vt:lpstr>Ultra_patio_4</vt:lpstr>
      <vt:lpstr>five</vt:lpstr>
      <vt:lpstr>four</vt:lpstr>
      <vt:lpstr>three</vt:lpstr>
      <vt:lpstr>rooflight</vt:lpstr>
      <vt:lpstr>lantern</vt:lpstr>
      <vt:lpstr>internal</vt:lpstr>
      <vt:lpstr>cutoffs</vt:lpstr>
      <vt:lpstr>options</vt:lpstr>
      <vt:lpstr>toggles</vt:lpstr>
    </vt:vector>
  </TitlesOfParts>
  <LinksUpToDate>false</LinksUpToDate>
  <SharedDoc>false</SharedDoc>
  <HyperlinksChanged>false</HyperlinksChanged>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Ultra Windows &amp; Bifolds</cp:lastModifiedBy>
  <dcterms:modified xsi:type="dcterms:W3CDTF">2026-01-28T22:06:06Z</dcterms:modified>
</cp:coreProperties>
</file>